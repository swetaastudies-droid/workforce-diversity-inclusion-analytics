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300" yWindow="516" windowWidth="18876" windowHeight="8940" firstSheet="16" activeTab="20"/>
  </bookViews>
  <sheets>
    <sheet name="Gender_Pivot" sheetId="5" r:id="rId1"/>
    <sheet name="Age_Pivot" sheetId="8" r:id="rId2"/>
    <sheet name="Ethnicity_Pivot" sheetId="9" r:id="rId3"/>
    <sheet name="Department_Pivot" sheetId="10" r:id="rId4"/>
    <sheet name="Diversity_Combination_Pivot" sheetId="12" r:id="rId5"/>
    <sheet name="Sheet12" sheetId="14" r:id="rId6"/>
    <sheet name="Sheet13" sheetId="15" r:id="rId7"/>
    <sheet name="Sheet14" sheetId="16" r:id="rId8"/>
    <sheet name="Sheet15" sheetId="17" r:id="rId9"/>
    <sheet name="Sheet16" sheetId="18" r:id="rId10"/>
    <sheet name="Sheet19" sheetId="21" r:id="rId11"/>
    <sheet name="Sheet20" sheetId="22" r:id="rId12"/>
    <sheet name="Cleaned Data" sheetId="3" r:id="rId13"/>
    <sheet name="Raw_Data" sheetId="1" r:id="rId14"/>
    <sheet name="Setup_Notes" sheetId="2" r:id="rId15"/>
    <sheet name="Diversity_KPIs" sheetId="4" r:id="rId16"/>
    <sheet name="Inclusion_KPIs" sheetId="13" r:id="rId17"/>
    <sheet name="Diversity_Scorecard" sheetId="19" r:id="rId18"/>
    <sheet name="D&amp;I_Dashboard" sheetId="20" r:id="rId19"/>
    <sheet name="Scenario Summary" sheetId="24" r:id="rId20"/>
    <sheet name="Scenario_Analysis" sheetId="23" r:id="rId21"/>
  </sheets>
  <externalReferences>
    <externalReference r:id="rId22"/>
  </externalReferences>
  <definedNames>
    <definedName name="_xlnm._FilterDatabase" localSheetId="12" hidden="1">'Cleaned Data'!$A$1:$J$201</definedName>
    <definedName name="_xlnm._FilterDatabase" localSheetId="13" hidden="1">Raw_Data!$A$1:$J$201</definedName>
  </definedNames>
  <calcPr calcId="124519"/>
  <pivotCaches>
    <pivotCache cacheId="0" r:id="rId23"/>
    <pivotCache cacheId="1" r:id="rId24"/>
    <pivotCache cacheId="2" r:id="rId25"/>
    <pivotCache cacheId="3" r:id="rId26"/>
    <pivotCache cacheId="4" r:id="rId27"/>
  </pivotCaches>
</workbook>
</file>

<file path=xl/calcChain.xml><?xml version="1.0" encoding="utf-8"?>
<calcChain xmlns="http://schemas.openxmlformats.org/spreadsheetml/2006/main">
  <c r="F15" i="23"/>
  <c r="G9"/>
  <c r="E5" i="22"/>
  <c r="E6"/>
  <c r="E7"/>
  <c r="E8"/>
  <c r="E9"/>
  <c r="E10"/>
  <c r="E11"/>
  <c r="E4"/>
  <c r="B6" i="19"/>
  <c r="P3" i="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"/>
  <c r="G6" i="4"/>
  <c r="G7"/>
  <c r="G8"/>
  <c r="G9"/>
  <c r="G10"/>
  <c r="G11"/>
  <c r="G12"/>
  <c r="G5"/>
  <c r="N29" i="3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"/>
  <c r="E13" i="4"/>
  <c r="E12"/>
  <c r="E11"/>
  <c r="E10"/>
  <c r="E9"/>
  <c r="E8"/>
  <c r="E7"/>
  <c r="E6"/>
  <c r="E5"/>
  <c r="B26"/>
  <c r="B25"/>
  <c r="B24"/>
  <c r="B23"/>
  <c r="B22"/>
  <c r="B21"/>
  <c r="B19"/>
  <c r="B18"/>
  <c r="B17"/>
  <c r="B16"/>
  <c r="B15"/>
  <c r="B14"/>
  <c r="B10"/>
  <c r="B9"/>
  <c r="B8"/>
  <c r="B7"/>
  <c r="B6"/>
  <c r="B3"/>
  <c r="M193" i="3"/>
  <c r="M194"/>
  <c r="M195"/>
  <c r="M196"/>
  <c r="M197"/>
  <c r="M198"/>
  <c r="M199"/>
  <c r="M200"/>
  <c r="M201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"/>
  <c r="L191"/>
  <c r="L192"/>
  <c r="L193"/>
  <c r="L194"/>
  <c r="L195"/>
  <c r="L196"/>
  <c r="L197"/>
  <c r="L198"/>
  <c r="L199"/>
  <c r="L200"/>
  <c r="L201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47"/>
  <c r="K48"/>
  <c r="K49"/>
  <c r="K50"/>
  <c r="K51"/>
  <c r="K52"/>
  <c r="K53"/>
  <c r="K54"/>
  <c r="K55"/>
  <c r="K56"/>
  <c r="K57"/>
  <c r="K58"/>
  <c r="K59"/>
  <c r="K60"/>
  <c r="K61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"/>
</calcChain>
</file>

<file path=xl/sharedStrings.xml><?xml version="1.0" encoding="utf-8"?>
<sst xmlns="http://schemas.openxmlformats.org/spreadsheetml/2006/main" count="2781" uniqueCount="374">
  <si>
    <t>Employee_ID</t>
  </si>
  <si>
    <t>Gender</t>
  </si>
  <si>
    <t>Age</t>
  </si>
  <si>
    <t>Ethnicity</t>
  </si>
  <si>
    <t>Department</t>
  </si>
  <si>
    <t>Job_Level</t>
  </si>
  <si>
    <t>Salary</t>
  </si>
  <si>
    <t>Promotions_Last3Years</t>
  </si>
  <si>
    <t>Training_Hours</t>
  </si>
  <si>
    <t>Exit_Status</t>
  </si>
  <si>
    <t>EMP001</t>
  </si>
  <si>
    <t>Male</t>
  </si>
  <si>
    <t>Category C</t>
  </si>
  <si>
    <t>Finance</t>
  </si>
  <si>
    <t>Mid-Level</t>
  </si>
  <si>
    <t>Active</t>
  </si>
  <si>
    <t>EMP002</t>
  </si>
  <si>
    <t>Category A</t>
  </si>
  <si>
    <t>Customer Service</t>
  </si>
  <si>
    <t>EMP003</t>
  </si>
  <si>
    <t>Operations</t>
  </si>
  <si>
    <t>Junior</t>
  </si>
  <si>
    <t>EMP004</t>
  </si>
  <si>
    <t>Female</t>
  </si>
  <si>
    <t>Entry</t>
  </si>
  <si>
    <t>EMP005</t>
  </si>
  <si>
    <t>Senior Manager</t>
  </si>
  <si>
    <t>EMP006</t>
  </si>
  <si>
    <t>Category B</t>
  </si>
  <si>
    <t>Exited</t>
  </si>
  <si>
    <t>EMP007</t>
  </si>
  <si>
    <t>Marketing</t>
  </si>
  <si>
    <t>EMP008</t>
  </si>
  <si>
    <t>EMP009</t>
  </si>
  <si>
    <t>Senior</t>
  </si>
  <si>
    <t>EMP010</t>
  </si>
  <si>
    <t>IT</t>
  </si>
  <si>
    <t>EMP011</t>
  </si>
  <si>
    <t>EMP012</t>
  </si>
  <si>
    <t>EMP013</t>
  </si>
  <si>
    <t>EMP014</t>
  </si>
  <si>
    <t>EMP015</t>
  </si>
  <si>
    <t>HR</t>
  </si>
  <si>
    <t>Manager</t>
  </si>
  <si>
    <t>EMP016</t>
  </si>
  <si>
    <t>EMP017</t>
  </si>
  <si>
    <t>EMP018</t>
  </si>
  <si>
    <t>Sales</t>
  </si>
  <si>
    <t>EMP019</t>
  </si>
  <si>
    <t>EMP020</t>
  </si>
  <si>
    <t>EMP021</t>
  </si>
  <si>
    <t>R&amp;D</t>
  </si>
  <si>
    <t>EMP022</t>
  </si>
  <si>
    <t>EMP023</t>
  </si>
  <si>
    <t>EMP024</t>
  </si>
  <si>
    <t>EMP025</t>
  </si>
  <si>
    <t>EMP026</t>
  </si>
  <si>
    <t>EMP027</t>
  </si>
  <si>
    <t>Category D</t>
  </si>
  <si>
    <t>EMP028</t>
  </si>
  <si>
    <t>EMP029</t>
  </si>
  <si>
    <t>Non-Binary</t>
  </si>
  <si>
    <t>EMP030</t>
  </si>
  <si>
    <t>EMP031</t>
  </si>
  <si>
    <t>EMP032</t>
  </si>
  <si>
    <t>EMP033</t>
  </si>
  <si>
    <t>Prefer Not to Say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</si>
  <si>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</si>
  <si>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</si>
  <si>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</si>
  <si>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</si>
  <si>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</si>
  <si>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</si>
  <si>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</si>
  <si>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</si>
  <si>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</si>
  <si>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</si>
  <si>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</si>
  <si>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</si>
  <si>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</si>
  <si>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</si>
  <si>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</si>
  <si>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</si>
  <si>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</si>
  <si>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</si>
  <si>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</si>
  <si>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</si>
  <si>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</si>
  <si>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</si>
  <si>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</si>
  <si>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</si>
  <si>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</si>
  <si>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</si>
  <si>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</si>
  <si>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</si>
  <si>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</si>
  <si>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</si>
  <si>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</si>
  <si>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</si>
  <si>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</si>
  <si>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</si>
  <si>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</si>
  <si>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</si>
  <si>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</si>
  <si>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</si>
  <si>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</si>
  <si>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</si>
  <si>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</si>
  <si>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</si>
  <si>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</si>
  <si>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</si>
  <si>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</si>
  <si>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</si>
  <si>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</si>
  <si>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</si>
  <si>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</si>
  <si>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</si>
  <si>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</si>
  <si>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</si>
  <si>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</si>
  <si>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</si>
  <si>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</si>
  <si>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</si>
  <si>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</si>
  <si>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</si>
  <si>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</si>
  <si>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</si>
  <si>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</si>
  <si>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</si>
  <si>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</si>
  <si>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</si>
  <si>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</si>
  <si>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</si>
  <si>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</si>
  <si>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</si>
  <si>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</si>
  <si>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</si>
  <si>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</si>
  <si>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</si>
  <si>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</si>
  <si>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</si>
  <si>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</si>
  <si>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</si>
  <si>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</si>
  <si>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</si>
  <si>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</si>
  <si>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</si>
  <si>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</si>
  <si>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</si>
  <si>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</si>
  <si>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</si>
  <si>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</si>
  <si>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</si>
  <si>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</si>
  <si>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</si>
  <si>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</si>
  <si>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</si>
  <si>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</si>
  <si>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</si>
  <si>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</si>
  <si>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</si>
  <si>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</si>
  <si>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</si>
  <si>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</si>
  <si>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</si>
  <si>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</si>
  <si>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</si>
  <si>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</si>
  <si>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</si>
  <si>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</si>
  <si>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</si>
  <si>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</si>
  <si>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</si>
  <si>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</si>
  <si>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</si>
  <si>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</si>
  <si>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</si>
  <si>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</si>
  <si>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</si>
  <si>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</si>
  <si>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</si>
  <si>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</si>
  <si>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</si>
  <si>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</si>
  <si>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</si>
  <si>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</si>
  <si>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</si>
  <si>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</si>
  <si>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</si>
  <si>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</si>
  <si>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</si>
  <si>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</si>
  <si>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</si>
  <si>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</si>
  <si>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</si>
  <si>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</si>
  <si>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</si>
  <si>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</si>
  <si>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</si>
  <si>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</si>
  <si>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</si>
  <si>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</si>
  <si>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</si>
  <si>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</si>
  <si>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</si>
  <si>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</si>
  <si>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</si>
  <si>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</si>
  <si>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</si>
  <si>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</si>
  <si>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</si>
  <si>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</si>
  <si>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</si>
  <si>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</si>
  <si>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</si>
  <si>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</si>
  <si>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</si>
  <si>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</si>
  <si>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</si>
  <si>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</si>
  <si>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</si>
  <si>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</si>
  <si>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</si>
  <si>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</si>
  <si>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</si>
  <si>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</si>
  <si>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</si>
  <si>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</si>
  <si>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</si>
  <si>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</si>
  <si>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</si>
  <si>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</si>
  <si>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</si>
  <si>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</si>
  <si>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Project</t>
  </si>
  <si>
    <t>Workforce Diversity &amp; Inclusion Analytics Dashboard</t>
  </si>
  <si>
    <t>Dataset Type</t>
  </si>
  <si>
    <t>Synthetic / Anonymized</t>
  </si>
  <si>
    <t>Number of Records</t>
  </si>
  <si>
    <t>Excel Table Name</t>
  </si>
  <si>
    <t>tbl_Workforce</t>
  </si>
  <si>
    <t>Purpose</t>
  </si>
  <si>
    <t>Step 1 – Data Collection &amp; Setup</t>
  </si>
  <si>
    <t>Privacy Note</t>
  </si>
  <si>
    <t>No real employee identities or personally identifiable information are included.</t>
  </si>
  <si>
    <t>Power BI</t>
  </si>
  <si>
    <t>Use Get Data → Excel Workbook and select the tbl_Workforce table.</t>
  </si>
  <si>
    <t>Gender_Group</t>
  </si>
  <si>
    <t>Age_Group</t>
  </si>
  <si>
    <t>Job_Level_Group</t>
  </si>
  <si>
    <t>Diversity KPI Summary</t>
  </si>
  <si>
    <t>Total Employees</t>
  </si>
  <si>
    <t>Gender Ratio %</t>
  </si>
  <si>
    <t>M</t>
  </si>
  <si>
    <t>F</t>
  </si>
  <si>
    <t>Other</t>
  </si>
  <si>
    <t>Undisclosed</t>
  </si>
  <si>
    <t>Row Labels</t>
  </si>
  <si>
    <t>Grand Total</t>
  </si>
  <si>
    <t>Count of Employee_ID</t>
  </si>
  <si>
    <t>25-34</t>
  </si>
  <si>
    <t>35-44</t>
  </si>
  <si>
    <t>&lt;25</t>
  </si>
  <si>
    <t>55+</t>
  </si>
  <si>
    <t>45-54</t>
  </si>
  <si>
    <t>Age Group</t>
  </si>
  <si>
    <t>Age Distribution %</t>
  </si>
  <si>
    <t>D</t>
  </si>
  <si>
    <t>E</t>
  </si>
  <si>
    <t>G</t>
  </si>
  <si>
    <t>Department Headcount</t>
  </si>
  <si>
    <t>Distinct Gender-Ethnicity Combinations</t>
  </si>
  <si>
    <t>Diversity Index</t>
  </si>
  <si>
    <t>Gender_Ethnicity</t>
  </si>
  <si>
    <t>F|Category A</t>
  </si>
  <si>
    <t>F|Category B</t>
  </si>
  <si>
    <t>F|Category C</t>
  </si>
  <si>
    <t>F|Category D</t>
  </si>
  <si>
    <t>M|Category A</t>
  </si>
  <si>
    <t>M|Category B</t>
  </si>
  <si>
    <t>M|Category C</t>
  </si>
  <si>
    <t>M|Category D</t>
  </si>
  <si>
    <t>Undisclosed|Category A</t>
  </si>
  <si>
    <t>Undisclosed|Category B</t>
  </si>
  <si>
    <t>F|Prefer Not to Say</t>
  </si>
  <si>
    <t>M|Prefer Not to Say</t>
  </si>
  <si>
    <t>Other|Category C</t>
  </si>
  <si>
    <t>Undisclosed|Category D</t>
  </si>
  <si>
    <t>Other|Category A</t>
  </si>
  <si>
    <t>Other|Category B</t>
  </si>
  <si>
    <t>Promotion_Eligible</t>
  </si>
  <si>
    <t>Eligible Employees</t>
  </si>
  <si>
    <t>Promotions</t>
  </si>
  <si>
    <t>Yes</t>
  </si>
  <si>
    <t>(blank)</t>
  </si>
  <si>
    <t>Sum of Promotions_Last3Years</t>
  </si>
  <si>
    <t>Average of Salary</t>
  </si>
  <si>
    <t>Average Salary</t>
  </si>
  <si>
    <t>Pay Equity Ratio</t>
  </si>
  <si>
    <t>Training_Participation</t>
  </si>
  <si>
    <t>No</t>
  </si>
  <si>
    <t>Training KPI</t>
  </si>
  <si>
    <t>Value</t>
  </si>
  <si>
    <t>Employees with Training &gt;10</t>
  </si>
  <si>
    <t>Training Participation %</t>
  </si>
  <si>
    <t>Column Labels</t>
  </si>
  <si>
    <t>Exit Rate</t>
  </si>
  <si>
    <t>Overall Exit Rate</t>
  </si>
  <si>
    <t>Promotion Rate</t>
  </si>
  <si>
    <t>Metric</t>
  </si>
  <si>
    <t>Score</t>
  </si>
  <si>
    <t>Scoring Rule</t>
  </si>
  <si>
    <t>Gender Balance</t>
  </si>
  <si>
    <t>Age Representation</t>
  </si>
  <si>
    <t>Ethnicity Mix</t>
  </si>
  <si>
    <t>Pay Equity</t>
  </si>
  <si>
    <t>Overall Diversity Index</t>
  </si>
  <si>
    <t>45–55% representation = 100</t>
  </si>
  <si>
    <t>20 points per represented age group × 5 groups</t>
  </si>
  <si>
    <t>Illustrative evenness score; 100 = equal category representation</t>
  </si>
  <si>
    <t>100 within 0.9–1.1; proportional penalty outside range</t>
  </si>
  <si>
    <t>Average of Gender, Age, Ethnicity &amp; Pay Equity scores</t>
  </si>
  <si>
    <t>Note: Ethnicity and Pay Equity scoring methods are illustrative for educational dashboard purposes and should be validated before organizational use.</t>
  </si>
  <si>
    <t>GENDER RATIO</t>
  </si>
  <si>
    <t>Male 47% | Female 47%</t>
  </si>
  <si>
    <t>DIVERSITY INDEX</t>
  </si>
  <si>
    <t>PAY EQUITY RATIO</t>
  </si>
  <si>
    <t>3-YEAR PROMOTION EVENTS</t>
  </si>
  <si>
    <t>PAY EQUITY RATIO BY DEPARTMENT</t>
  </si>
  <si>
    <t>SCENARIO &amp; WHAT-IF ANALYSIS</t>
  </si>
  <si>
    <t>Scenario</t>
  </si>
  <si>
    <t>Description</t>
  </si>
  <si>
    <t>Key Change</t>
  </si>
  <si>
    <t>Base Case</t>
  </si>
  <si>
    <t>Current workforce</t>
  </si>
  <si>
    <t>No change</t>
  </si>
  <si>
    <t>Scenario 1</t>
  </si>
  <si>
    <t>Increase female hiring in Leadership roles</t>
  </si>
  <si>
    <t>Scenario 2</t>
  </si>
  <si>
    <t>Improve training participation for minorities</t>
  </si>
  <si>
    <t>Scenario 3</t>
  </si>
  <si>
    <t>Salary corrections</t>
  </si>
  <si>
    <t>Pay Equity = 1.0</t>
  </si>
  <si>
    <t>Scenario Inputs</t>
  </si>
  <si>
    <t>Female Leadership Hiring</t>
  </si>
  <si>
    <t>Minority Training Participation</t>
  </si>
  <si>
    <t>Scenario Diversity Index</t>
  </si>
  <si>
    <t>$G$5</t>
  </si>
  <si>
    <t>$G$6</t>
  </si>
  <si>
    <t>$G$7</t>
  </si>
  <si>
    <t>$G$9</t>
  </si>
  <si>
    <t>Created by Swe on 9/28/2026</t>
  </si>
  <si>
    <t>Scenario 1 - Female Leadership Hiring</t>
  </si>
  <si>
    <t>Scenario 2 - Minority Training</t>
  </si>
  <si>
    <t>Scenario 3 - Salary Correction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</si>
  <si>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</si>
  <si>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</si>
  <si>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</si>
  <si>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</si>
  <si>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</si>
  <si>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</si>
  <si>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</si>
  <si>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Minority Training</t>
  </si>
  <si>
    <t>Pay Equity Target</t>
  </si>
  <si>
    <t>Interpretation</t>
  </si>
  <si>
    <t>Current workforce baseline</t>
  </si>
  <si>
    <t>Hiring adjustment simulated</t>
  </si>
  <si>
    <t>Training adjustment simulated</t>
  </si>
  <si>
    <t>Salary correction target = 1.00</t>
  </si>
  <si>
    <t>Current</t>
  </si>
  <si>
    <t>Diversity Index Change</t>
  </si>
  <si>
    <t>N/A</t>
  </si>
  <si>
    <t>Scenario Analysis Note</t>
  </si>
  <si>
    <t>Scenario 1 and Scenario 2 represent workforce adjustment simulations. The project methodology does not specify formulas for converting these adjustments into Diversity Index points; therefore, no unsupported numerical improvement has been assigned. Scenario 3 uses the existing scorecard structure and models Pay Equity improvement to 100.</t>
  </si>
</sst>
</file>

<file path=xl/styles.xml><?xml version="1.0" encoding="utf-8"?>
<styleSheet xmlns="http://schemas.openxmlformats.org/spreadsheetml/2006/main">
  <numFmts count="1">
    <numFmt numFmtId="164" formatCode="\₹#,##0"/>
  </numFmts>
  <fonts count="1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 Unicode M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4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 applyAlignment="1">
      <alignment wrapText="1"/>
    </xf>
    <xf numFmtId="9" fontId="0" fillId="0" borderId="0" xfId="0" applyNumberFormat="1"/>
    <xf numFmtId="0" fontId="0" fillId="0" borderId="0" xfId="0" applyAlignment="1">
      <alignment horizontal="center" wrapText="1"/>
    </xf>
    <xf numFmtId="9" fontId="0" fillId="0" borderId="0" xfId="1" applyFont="1"/>
    <xf numFmtId="0" fontId="0" fillId="0" borderId="0" xfId="0" applyAlignment="1">
      <alignment horizontal="left" indent="1"/>
    </xf>
    <xf numFmtId="0" fontId="0" fillId="0" borderId="0" xfId="0" applyFont="1" applyAlignment="1">
      <alignment horizontal="center"/>
    </xf>
    <xf numFmtId="10" fontId="0" fillId="0" borderId="0" xfId="1" applyNumberFormat="1" applyFont="1" applyAlignment="1">
      <alignment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  <xf numFmtId="10" fontId="0" fillId="0" borderId="0" xfId="0" applyNumberFormat="1"/>
    <xf numFmtId="10" fontId="0" fillId="0" borderId="0" xfId="0" applyNumberFormat="1" applyAlignment="1">
      <alignment horizontal="right" wrapText="1"/>
    </xf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wrapText="1"/>
    </xf>
    <xf numFmtId="10" fontId="4" fillId="0" borderId="0" xfId="0" applyNumberFormat="1" applyFont="1" applyAlignment="1">
      <alignment wrapText="1"/>
    </xf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wrapText="1"/>
    </xf>
    <xf numFmtId="9" fontId="0" fillId="0" borderId="1" xfId="1" applyFont="1" applyBorder="1" applyAlignment="1">
      <alignment wrapText="1"/>
    </xf>
    <xf numFmtId="0" fontId="0" fillId="0" borderId="1" xfId="0" applyBorder="1"/>
    <xf numFmtId="9" fontId="0" fillId="0" borderId="1" xfId="0" applyNumberFormat="1" applyBorder="1"/>
    <xf numFmtId="10" fontId="0" fillId="0" borderId="0" xfId="1" applyNumberFormat="1" applyFont="1"/>
    <xf numFmtId="0" fontId="4" fillId="0" borderId="0" xfId="0" applyFont="1" applyAlignment="1"/>
    <xf numFmtId="9" fontId="0" fillId="0" borderId="0" xfId="0" applyNumberFormat="1" applyAlignment="1">
      <alignment wrapText="1"/>
    </xf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3" xfId="0" applyFill="1" applyBorder="1" applyAlignment="1"/>
    <xf numFmtId="0" fontId="8" fillId="4" borderId="4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9" fillId="5" borderId="0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9" fillId="5" borderId="3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9" fontId="0" fillId="6" borderId="0" xfId="0" applyNumberFormat="1" applyFill="1" applyBorder="1" applyAlignment="1"/>
    <xf numFmtId="0" fontId="0" fillId="6" borderId="0" xfId="0" applyFill="1" applyBorder="1" applyAlignment="1"/>
    <xf numFmtId="0" fontId="12" fillId="0" borderId="0" xfId="0" applyFont="1" applyFill="1" applyBorder="1" applyAlignment="1">
      <alignment vertical="top" wrapText="1"/>
    </xf>
    <xf numFmtId="0" fontId="13" fillId="0" borderId="0" xfId="0" applyFont="1"/>
  </cellXfs>
  <cellStyles count="2">
    <cellStyle name="Normal" xfId="0" builtinId="0"/>
    <cellStyle name="Percent" xfId="1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5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Gender Distribution</a:t>
            </a:r>
          </a:p>
        </c:rich>
      </c:tx>
      <c:layout>
        <c:manualLayout>
          <c:xMode val="edge"/>
          <c:yMode val="edge"/>
          <c:x val="0.38541666666666707"/>
          <c:y val="3.7037037037037056E-2"/>
        </c:manualLayout>
      </c:layout>
    </c:title>
    <c:plotArea>
      <c:layout/>
      <c:pieChart>
        <c:varyColors val="1"/>
        <c:ser>
          <c:idx val="0"/>
          <c:order val="0"/>
          <c:dLbls>
            <c:showCatName val="1"/>
            <c:showPercent val="1"/>
          </c:dLbls>
          <c:cat>
            <c:strRef>
              <c:f>Diversity_KPIs!$A$6:$A$9</c:f>
              <c:strCache>
                <c:ptCount val="4"/>
                <c:pt idx="0">
                  <c:v>M</c:v>
                </c:pt>
                <c:pt idx="1">
                  <c:v>F</c:v>
                </c:pt>
                <c:pt idx="2">
                  <c:v>Other</c:v>
                </c:pt>
                <c:pt idx="3">
                  <c:v>Undisclosed</c:v>
                </c:pt>
              </c:strCache>
            </c:strRef>
          </c:cat>
          <c:val>
            <c:numRef>
              <c:f>Diversity_KPIs!$B$6:$B$9</c:f>
              <c:numCache>
                <c:formatCode>0%</c:formatCode>
                <c:ptCount val="4"/>
                <c:pt idx="0">
                  <c:v>0.47</c:v>
                </c:pt>
                <c:pt idx="1">
                  <c:v>0.47</c:v>
                </c:pt>
                <c:pt idx="2">
                  <c:v>0.02</c:v>
                </c:pt>
                <c:pt idx="3">
                  <c:v>0.04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Age Group Distribution</a:t>
            </a:r>
            <a:endParaRPr lang="en-US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showVal val="1"/>
          </c:dLbls>
          <c:cat>
            <c:strRef>
              <c:f>Diversity_KPIs!$A$14:$A$18</c:f>
              <c:strCache>
                <c:ptCount val="5"/>
                <c:pt idx="0">
                  <c:v>&lt;25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Diversity_KPIs!$B$14:$B$18</c:f>
              <c:numCache>
                <c:formatCode>0%</c:formatCode>
                <c:ptCount val="5"/>
                <c:pt idx="0">
                  <c:v>0.19</c:v>
                </c:pt>
                <c:pt idx="1">
                  <c:v>0.42</c:v>
                </c:pt>
                <c:pt idx="2">
                  <c:v>0.315</c:v>
                </c:pt>
                <c:pt idx="3">
                  <c:v>6.5000000000000002E-2</c:v>
                </c:pt>
                <c:pt idx="4">
                  <c:v>0.01</c:v>
                </c:pt>
              </c:numCache>
            </c:numRef>
          </c:val>
        </c:ser>
        <c:axId val="170065920"/>
        <c:axId val="170067456"/>
      </c:barChart>
      <c:catAx>
        <c:axId val="170065920"/>
        <c:scaling>
          <c:orientation val="minMax"/>
        </c:scaling>
        <c:axPos val="l"/>
        <c:tickLblPos val="nextTo"/>
        <c:crossAx val="170067456"/>
        <c:crosses val="autoZero"/>
        <c:auto val="1"/>
        <c:lblAlgn val="ctr"/>
        <c:lblOffset val="100"/>
      </c:catAx>
      <c:valAx>
        <c:axId val="170067456"/>
        <c:scaling>
          <c:orientation val="minMax"/>
        </c:scaling>
        <c:axPos val="b"/>
        <c:majorGridlines/>
        <c:numFmt formatCode="0%" sourceLinked="1"/>
        <c:tickLblPos val="nextTo"/>
        <c:crossAx val="17006592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[Workforce_Diversity_Inclusion_Analytics 12.xlsx]Sheet19!PivotTable12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Promotions by Gender &amp; Ethnicity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Sheet19!$B$3:$B$4</c:f>
              <c:strCache>
                <c:ptCount val="1"/>
                <c:pt idx="0">
                  <c:v>Category A</c:v>
                </c:pt>
              </c:strCache>
            </c:strRef>
          </c:tx>
          <c:cat>
            <c:strRef>
              <c:f>Sheet19!$A$5:$A$9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22</c:v>
                </c:pt>
                <c:pt idx="1">
                  <c:v>18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Sheet19!$C$3:$C$4</c:f>
              <c:strCache>
                <c:ptCount val="1"/>
                <c:pt idx="0">
                  <c:v>Category B</c:v>
                </c:pt>
              </c:strCache>
            </c:strRef>
          </c:tx>
          <c:cat>
            <c:strRef>
              <c:f>Sheet19!$A$5:$A$9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</c:strCache>
            </c:strRef>
          </c:cat>
          <c:val>
            <c:numRef>
              <c:f>Sheet19!$C$5:$C$9</c:f>
              <c:numCache>
                <c:formatCode>General</c:formatCode>
                <c:ptCount val="4"/>
                <c:pt idx="0">
                  <c:v>13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2"/>
          <c:order val="2"/>
          <c:tx>
            <c:strRef>
              <c:f>Sheet19!$D$3:$D$4</c:f>
              <c:strCache>
                <c:ptCount val="1"/>
                <c:pt idx="0">
                  <c:v>Category C</c:v>
                </c:pt>
              </c:strCache>
            </c:strRef>
          </c:tx>
          <c:cat>
            <c:strRef>
              <c:f>Sheet19!$A$5:$A$9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</c:strCache>
            </c:strRef>
          </c:cat>
          <c:val>
            <c:numRef>
              <c:f>Sheet19!$D$5:$D$9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Sheet19!$E$3:$E$4</c:f>
              <c:strCache>
                <c:ptCount val="1"/>
                <c:pt idx="0">
                  <c:v>Category D</c:v>
                </c:pt>
              </c:strCache>
            </c:strRef>
          </c:tx>
          <c:cat>
            <c:strRef>
              <c:f>Sheet19!$A$5:$A$9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</c:strCache>
            </c:strRef>
          </c:cat>
          <c:val>
            <c:numRef>
              <c:f>Sheet19!$E$5:$E$9</c:f>
              <c:numCache>
                <c:formatCode>General</c:formatCode>
                <c:ptCount val="4"/>
                <c:pt idx="0">
                  <c:v>11</c:v>
                </c:pt>
                <c:pt idx="1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Sheet19!$F$3:$F$4</c:f>
              <c:strCache>
                <c:ptCount val="1"/>
                <c:pt idx="0">
                  <c:v>Prefer Not to Say</c:v>
                </c:pt>
              </c:strCache>
            </c:strRef>
          </c:tx>
          <c:cat>
            <c:strRef>
              <c:f>Sheet19!$A$5:$A$9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Prefer Not to Say</c:v>
                </c:pt>
              </c:strCache>
            </c:strRef>
          </c:cat>
          <c:val>
            <c:numRef>
              <c:f>Sheet19!$F$5:$F$9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</c:numCache>
            </c:numRef>
          </c:val>
        </c:ser>
        <c:overlap val="100"/>
        <c:axId val="170115072"/>
        <c:axId val="170116608"/>
      </c:barChart>
      <c:catAx>
        <c:axId val="170115072"/>
        <c:scaling>
          <c:orientation val="minMax"/>
        </c:scaling>
        <c:axPos val="b"/>
        <c:tickLblPos val="nextTo"/>
        <c:crossAx val="170116608"/>
        <c:crosses val="autoZero"/>
        <c:auto val="1"/>
        <c:lblAlgn val="ctr"/>
        <c:lblOffset val="100"/>
      </c:catAx>
      <c:valAx>
        <c:axId val="170116608"/>
        <c:scaling>
          <c:orientation val="minMax"/>
        </c:scaling>
        <c:axPos val="l"/>
        <c:majorGridlines/>
        <c:numFmt formatCode="General" sourceLinked="1"/>
        <c:tickLblPos val="nextTo"/>
        <c:crossAx val="170115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b="1"/>
              <a:t>Exit Rate by Gender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dLbls>
            <c:showVal val="1"/>
          </c:dLbls>
          <c:cat>
            <c:strRef>
              <c:f>Inclusion_KPIs!$E$16:$E$19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  <c:pt idx="3">
                  <c:v>Prefer Not to Say</c:v>
                </c:pt>
              </c:strCache>
            </c:strRef>
          </c:cat>
          <c:val>
            <c:numRef>
              <c:f>Inclusion_KPIs!$F$16:$F$19</c:f>
              <c:numCache>
                <c:formatCode>0.00%</c:formatCode>
                <c:ptCount val="4"/>
                <c:pt idx="0">
                  <c:v>0.13830000000000001</c:v>
                </c:pt>
                <c:pt idx="1">
                  <c:v>0.21279999999999999</c:v>
                </c:pt>
                <c:pt idx="2">
                  <c:v>0</c:v>
                </c:pt>
                <c:pt idx="3">
                  <c:v>0.125</c:v>
                </c:pt>
              </c:numCache>
            </c:numRef>
          </c:val>
        </c:ser>
        <c:marker val="1"/>
        <c:axId val="170350080"/>
        <c:axId val="170351616"/>
      </c:lineChart>
      <c:catAx>
        <c:axId val="170350080"/>
        <c:scaling>
          <c:orientation val="minMax"/>
        </c:scaling>
        <c:axPos val="b"/>
        <c:tickLblPos val="nextTo"/>
        <c:crossAx val="170351616"/>
        <c:crosses val="autoZero"/>
        <c:auto val="1"/>
        <c:lblAlgn val="ctr"/>
        <c:lblOffset val="100"/>
      </c:catAx>
      <c:valAx>
        <c:axId val="170351616"/>
        <c:scaling>
          <c:orientation val="minMax"/>
        </c:scaling>
        <c:axPos val="l"/>
        <c:majorGridlines/>
        <c:numFmt formatCode="0.00%" sourceLinked="1"/>
        <c:tickLblPos val="nextTo"/>
        <c:crossAx val="1703500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289560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6</xdr:row>
      <xdr:rowOff>0</xdr:rowOff>
    </xdr:from>
    <xdr:to>
      <xdr:col>8</xdr:col>
      <xdr:colOff>525780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3</xdr:col>
      <xdr:colOff>289560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3</xdr:col>
      <xdr:colOff>289560</xdr:colOff>
      <xdr:row>54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_Dat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eaned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we" refreshedDate="46293.759910069442" createdVersion="3" refreshedVersion="3" minRefreshableVersion="3" recordCount="200">
  <cacheSource type="worksheet">
    <worksheetSource ref="A1:M201" sheet="Cleaned Data"/>
  </cacheSource>
  <cacheFields count="13">
    <cacheField name="Employee_ID" numFmtId="0">
      <sharedItems/>
    </cacheField>
    <cacheField name="Gender" numFmtId="0">
      <sharedItems count="4">
        <s v="Male"/>
        <s v="Female"/>
        <s v="Non-Binary"/>
        <s v="Prefer Not to Say"/>
      </sharedItems>
    </cacheField>
    <cacheField name="Age" numFmtId="0">
      <sharedItems containsSemiMixedTypes="0" containsString="0" containsNumber="1" containsInteger="1" minValue="21" maxValue="60" count="33">
        <n v="27"/>
        <n v="24"/>
        <n v="52"/>
        <n v="22"/>
        <n v="23"/>
        <n v="30"/>
        <n v="43"/>
        <n v="37"/>
        <n v="40"/>
        <n v="44"/>
        <n v="34"/>
        <n v="39"/>
        <n v="41"/>
        <n v="42"/>
        <n v="31"/>
        <n v="33"/>
        <n v="29"/>
        <n v="36"/>
        <n v="46"/>
        <n v="32"/>
        <n v="38"/>
        <n v="35"/>
        <n v="28"/>
        <n v="50"/>
        <n v="45"/>
        <n v="51"/>
        <n v="26"/>
        <n v="48"/>
        <n v="21"/>
        <n v="25"/>
        <n v="49"/>
        <n v="55"/>
        <n v="60"/>
      </sharedItems>
    </cacheField>
    <cacheField name="Ethnicity" numFmtId="0">
      <sharedItems count="5">
        <s v="Category C"/>
        <s v="Category A"/>
        <s v="Category B"/>
        <s v="Category D"/>
        <s v="Prefer Not to Say"/>
      </sharedItems>
    </cacheField>
    <cacheField name="Department" numFmtId="0">
      <sharedItems count="8">
        <s v="Finance"/>
        <s v="Customer Service"/>
        <s v="Operations"/>
        <s v="Marketing"/>
        <s v="IT"/>
        <s v="HR"/>
        <s v="Sales"/>
        <s v="R&amp;D"/>
      </sharedItems>
    </cacheField>
    <cacheField name="Job_Level" numFmtId="0">
      <sharedItems/>
    </cacheField>
    <cacheField name="Salary" numFmtId="164">
      <sharedItems containsSemiMixedTypes="0" containsString="0" containsNumber="1" containsInteger="1" minValue="315000" maxValue="2785000"/>
    </cacheField>
    <cacheField name="Promotions_Last3Years" numFmtId="1">
      <sharedItems containsSemiMixedTypes="0" containsString="0" containsNumber="1" containsInteger="1" minValue="0" maxValue="3"/>
    </cacheField>
    <cacheField name="Training_Hours" numFmtId="1">
      <sharedItems containsSemiMixedTypes="0" containsString="0" containsNumber="1" containsInteger="1" minValue="9" maxValue="79"/>
    </cacheField>
    <cacheField name="Exit_Status" numFmtId="0">
      <sharedItems/>
    </cacheField>
    <cacheField name="Gender_Group" numFmtId="0">
      <sharedItems/>
    </cacheField>
    <cacheField name="Age_Group" numFmtId="0">
      <sharedItems/>
    </cacheField>
    <cacheField name="Job_Level_Group" numFmtId="0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we" refreshedDate="46293.778273842596" createdVersion="3" refreshedVersion="3" minRefreshableVersion="3" recordCount="200">
  <cacheSource type="worksheet">
    <worksheetSource ref="A1:N201" sheet="Cleaned Data"/>
  </cacheSource>
  <cacheFields count="14">
    <cacheField name="Employee_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60"/>
    </cacheField>
    <cacheField name="Ethnicity" numFmtId="0">
      <sharedItems/>
    </cacheField>
    <cacheField name="Department" numFmtId="0">
      <sharedItems count="8">
        <s v="Finance"/>
        <s v="Customer Service"/>
        <s v="Operations"/>
        <s v="Marketing"/>
        <s v="IT"/>
        <s v="HR"/>
        <s v="Sales"/>
        <s v="R&amp;D"/>
      </sharedItems>
    </cacheField>
    <cacheField name="Job_Level" numFmtId="0">
      <sharedItems/>
    </cacheField>
    <cacheField name="Salary" numFmtId="164">
      <sharedItems containsSemiMixedTypes="0" containsString="0" containsNumber="1" containsInteger="1" minValue="315000" maxValue="2785000"/>
    </cacheField>
    <cacheField name="Promotions_Last3Years" numFmtId="1">
      <sharedItems containsSemiMixedTypes="0" containsString="0" containsNumber="1" containsInteger="1" minValue="0" maxValue="3"/>
    </cacheField>
    <cacheField name="Training_Hours" numFmtId="1">
      <sharedItems containsSemiMixedTypes="0" containsString="0" containsNumber="1" containsInteger="1" minValue="9" maxValue="79"/>
    </cacheField>
    <cacheField name="Exit_Status" numFmtId="0">
      <sharedItems/>
    </cacheField>
    <cacheField name="Gender_Group" numFmtId="0">
      <sharedItems/>
    </cacheField>
    <cacheField name="Age_Group" numFmtId="0">
      <sharedItems/>
    </cacheField>
    <cacheField name="Job_Level_Group" numFmtId="0">
      <sharedItems/>
    </cacheField>
    <cacheField name="Gender_Ethnicity" numFmtId="0">
      <sharedItems count="16">
        <s v="M|Category C"/>
        <s v="M|Category A"/>
        <s v="F|Category C"/>
        <s v="M|Category B"/>
        <s v="F|Category B"/>
        <s v="F|Category A"/>
        <s v="M|Category D"/>
        <s v="Other|Category C"/>
        <s v="F|Category D"/>
        <s v="F|Prefer Not to Say"/>
        <s v="M|Prefer Not to Say"/>
        <s v="Undisclosed|Category B"/>
        <s v="Undisclosed|Category A"/>
        <s v="Other|Category B"/>
        <s v="Undisclosed|Category D"/>
        <s v="Other|Category 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we" refreshedDate="46293.784448148152" createdVersion="3" refreshedVersion="3" minRefreshableVersion="3" recordCount="200">
  <cacheSource type="worksheet">
    <worksheetSource ref="A1:O201" sheet="Cleaned Data"/>
  </cacheSource>
  <cacheFields count="15">
    <cacheField name="Employee_ID" numFmtId="0">
      <sharedItems/>
    </cacheField>
    <cacheField name="Gender" numFmtId="0">
      <sharedItems count="4">
        <s v="Male"/>
        <s v="Female"/>
        <s v="Non-Binary"/>
        <s v="Prefer Not to Say"/>
      </sharedItems>
    </cacheField>
    <cacheField name="Age" numFmtId="0">
      <sharedItems containsSemiMixedTypes="0" containsString="0" containsNumber="1" containsInteger="1" minValue="21" maxValue="60"/>
    </cacheField>
    <cacheField name="Ethnicity" numFmtId="0">
      <sharedItems/>
    </cacheField>
    <cacheField name="Department" numFmtId="0">
      <sharedItems/>
    </cacheField>
    <cacheField name="Job_Level" numFmtId="0">
      <sharedItems/>
    </cacheField>
    <cacheField name="Salary" numFmtId="164">
      <sharedItems containsSemiMixedTypes="0" containsString="0" containsNumber="1" containsInteger="1" minValue="315000" maxValue="2785000"/>
    </cacheField>
    <cacheField name="Promotions_Last3Years" numFmtId="1">
      <sharedItems containsSemiMixedTypes="0" containsString="0" containsNumber="1" containsInteger="1" minValue="0" maxValue="3"/>
    </cacheField>
    <cacheField name="Training_Hours" numFmtId="1">
      <sharedItems containsSemiMixedTypes="0" containsString="0" containsNumber="1" containsInteger="1" minValue="9" maxValue="79"/>
    </cacheField>
    <cacheField name="Exit_Status" numFmtId="0">
      <sharedItems/>
    </cacheField>
    <cacheField name="Gender_Group" numFmtId="0">
      <sharedItems/>
    </cacheField>
    <cacheField name="Age_Group" numFmtId="0">
      <sharedItems/>
    </cacheField>
    <cacheField name="Job_Level_Group" numFmtId="0">
      <sharedItems/>
    </cacheField>
    <cacheField name="Gender_Ethnicity" numFmtId="0">
      <sharedItems/>
    </cacheField>
    <cacheField name="Promotion_Eligible" numFmtId="0">
      <sharedItems count="2">
        <s v="Yes"/>
        <s v="No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we" refreshedDate="46293.787158564817" createdVersion="3" refreshedVersion="3" minRefreshableVersion="3" recordCount="201">
  <cacheSource type="worksheet">
    <worksheetSource ref="A1:O1048576" sheet="Cleaned Data"/>
  </cacheSource>
  <cacheFields count="15">
    <cacheField name="Employee_ID" numFmtId="0">
      <sharedItems containsBlank="1"/>
    </cacheField>
    <cacheField name="Gender" numFmtId="0">
      <sharedItems containsBlank="1" count="5">
        <s v="Male"/>
        <s v="Female"/>
        <s v="Non-Binary"/>
        <s v="Prefer Not to Say"/>
        <m/>
      </sharedItems>
    </cacheField>
    <cacheField name="Age" numFmtId="0">
      <sharedItems containsString="0" containsBlank="1" containsNumber="1" containsInteger="1" minValue="21" maxValue="60"/>
    </cacheField>
    <cacheField name="Ethnicity" numFmtId="0">
      <sharedItems containsBlank="1"/>
    </cacheField>
    <cacheField name="Department" numFmtId="0">
      <sharedItems containsBlank="1"/>
    </cacheField>
    <cacheField name="Job_Level" numFmtId="0">
      <sharedItems containsBlank="1"/>
    </cacheField>
    <cacheField name="Salary" numFmtId="0">
      <sharedItems containsString="0" containsBlank="1" containsNumber="1" containsInteger="1" minValue="315000" maxValue="2785000"/>
    </cacheField>
    <cacheField name="Promotions_Last3Years" numFmtId="0">
      <sharedItems containsString="0" containsBlank="1" containsNumber="1" containsInteger="1" minValue="0" maxValue="3" count="5">
        <n v="0"/>
        <n v="1"/>
        <n v="2"/>
        <n v="3"/>
        <m/>
      </sharedItems>
    </cacheField>
    <cacheField name="Training_Hours" numFmtId="0">
      <sharedItems containsString="0" containsBlank="1" containsNumber="1" containsInteger="1" minValue="9" maxValue="79"/>
    </cacheField>
    <cacheField name="Exit_Status" numFmtId="0">
      <sharedItems containsBlank="1"/>
    </cacheField>
    <cacheField name="Gender_Group" numFmtId="0">
      <sharedItems containsBlank="1"/>
    </cacheField>
    <cacheField name="Age_Group" numFmtId="0">
      <sharedItems containsBlank="1"/>
    </cacheField>
    <cacheField name="Job_Level_Group" numFmtId="0">
      <sharedItems containsBlank="1"/>
    </cacheField>
    <cacheField name="Gender_Ethnicity" numFmtId="0">
      <sharedItems containsBlank="1"/>
    </cacheField>
    <cacheField name="Promotion_Eligible" numFmtId="0">
      <sharedItems containsBlank="1" count="3">
        <s v="Yes"/>
        <s v="No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we" refreshedDate="46293.791278356483" createdVersion="3" refreshedVersion="3" minRefreshableVersion="3" recordCount="200">
  <cacheSource type="worksheet">
    <worksheetSource ref="A1:P201" sheet="Cleaned Data"/>
  </cacheSource>
  <cacheFields count="16">
    <cacheField name="Employee_ID" numFmtId="0">
      <sharedItems/>
    </cacheField>
    <cacheField name="Gender" numFmtId="0">
      <sharedItems count="4">
        <s v="Male"/>
        <s v="Female"/>
        <s v="Non-Binary"/>
        <s v="Prefer Not to Say"/>
      </sharedItems>
    </cacheField>
    <cacheField name="Age" numFmtId="0">
      <sharedItems containsSemiMixedTypes="0" containsString="0" containsNumber="1" containsInteger="1" minValue="21" maxValue="60"/>
    </cacheField>
    <cacheField name="Ethnicity" numFmtId="0">
      <sharedItems count="5">
        <s v="Category C"/>
        <s v="Category A"/>
        <s v="Category B"/>
        <s v="Category D"/>
        <s v="Prefer Not to Say"/>
      </sharedItems>
    </cacheField>
    <cacheField name="Department" numFmtId="0">
      <sharedItems count="8">
        <s v="Finance"/>
        <s v="Customer Service"/>
        <s v="Operations"/>
        <s v="Marketing"/>
        <s v="IT"/>
        <s v="HR"/>
        <s v="Sales"/>
        <s v="R&amp;D"/>
      </sharedItems>
    </cacheField>
    <cacheField name="Job_Level" numFmtId="0">
      <sharedItems/>
    </cacheField>
    <cacheField name="Salary" numFmtId="164">
      <sharedItems containsSemiMixedTypes="0" containsString="0" containsNumber="1" containsInteger="1" minValue="315000" maxValue="2785000"/>
    </cacheField>
    <cacheField name="Promotions_Last3Years" numFmtId="1">
      <sharedItems containsSemiMixedTypes="0" containsString="0" containsNumber="1" containsInteger="1" minValue="0" maxValue="3"/>
    </cacheField>
    <cacheField name="Training_Hours" numFmtId="1">
      <sharedItems containsSemiMixedTypes="0" containsString="0" containsNumber="1" containsInteger="1" minValue="9" maxValue="79"/>
    </cacheField>
    <cacheField name="Exit_Status" numFmtId="0">
      <sharedItems count="2">
        <s v="Active"/>
        <s v="Exited"/>
      </sharedItems>
    </cacheField>
    <cacheField name="Gender_Group" numFmtId="0">
      <sharedItems/>
    </cacheField>
    <cacheField name="Age_Group" numFmtId="0">
      <sharedItems/>
    </cacheField>
    <cacheField name="Job_Level_Group" numFmtId="0">
      <sharedItems/>
    </cacheField>
    <cacheField name="Gender_Ethnicity" numFmtId="0">
      <sharedItems/>
    </cacheField>
    <cacheField name="Promotion_Eligible" numFmtId="0">
      <sharedItems count="2">
        <s v="Yes"/>
        <s v="No"/>
      </sharedItems>
    </cacheField>
    <cacheField name="Training_Participation" numFmtId="0">
      <sharedItems count="2">
        <s v="Yes"/>
        <s v="N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EMP001"/>
    <x v="0"/>
    <x v="0"/>
    <x v="0"/>
    <x v="0"/>
    <s v="Mid-Level"/>
    <n v="990000"/>
    <n v="0"/>
    <n v="29"/>
    <s v="Active"/>
    <s v="M"/>
    <s v="25-34"/>
    <s v="Mid"/>
  </r>
  <r>
    <s v="EMP002"/>
    <x v="0"/>
    <x v="0"/>
    <x v="1"/>
    <x v="1"/>
    <s v="Mid-Level"/>
    <n v="615000"/>
    <n v="0"/>
    <n v="29"/>
    <s v="Active"/>
    <s v="M"/>
    <s v="25-34"/>
    <s v="Mid"/>
  </r>
  <r>
    <s v="EMP003"/>
    <x v="0"/>
    <x v="0"/>
    <x v="1"/>
    <x v="2"/>
    <s v="Junior"/>
    <n v="405000"/>
    <n v="1"/>
    <n v="15"/>
    <s v="Active"/>
    <s v="M"/>
    <s v="25-34"/>
    <s v="Entry"/>
  </r>
  <r>
    <s v="EMP004"/>
    <x v="1"/>
    <x v="1"/>
    <x v="0"/>
    <x v="0"/>
    <s v="Entry"/>
    <n v="325000"/>
    <n v="0"/>
    <n v="19"/>
    <s v="Active"/>
    <s v="F"/>
    <s v="&lt;25"/>
    <s v="Entry"/>
  </r>
  <r>
    <s v="EMP005"/>
    <x v="1"/>
    <x v="2"/>
    <x v="0"/>
    <x v="0"/>
    <s v="Senior Manager"/>
    <n v="1885000"/>
    <n v="1"/>
    <n v="70"/>
    <s v="Active"/>
    <s v="F"/>
    <s v="45-54"/>
    <s v="Leadership"/>
  </r>
  <r>
    <s v="EMP006"/>
    <x v="0"/>
    <x v="3"/>
    <x v="2"/>
    <x v="2"/>
    <s v="Entry"/>
    <n v="375000"/>
    <n v="1"/>
    <n v="15"/>
    <s v="Exited"/>
    <s v="M"/>
    <s v="&lt;25"/>
    <s v="Entry"/>
  </r>
  <r>
    <s v="EMP007"/>
    <x v="1"/>
    <x v="4"/>
    <x v="0"/>
    <x v="3"/>
    <s v="Entry"/>
    <n v="355000"/>
    <n v="1"/>
    <n v="30"/>
    <s v="Exited"/>
    <s v="F"/>
    <s v="&lt;25"/>
    <s v="Entry"/>
  </r>
  <r>
    <s v="EMP008"/>
    <x v="1"/>
    <x v="5"/>
    <x v="0"/>
    <x v="2"/>
    <s v="Mid-Level"/>
    <n v="685000"/>
    <n v="0"/>
    <n v="32"/>
    <s v="Exited"/>
    <s v="F"/>
    <s v="25-34"/>
    <s v="Mid"/>
  </r>
  <r>
    <s v="EMP009"/>
    <x v="0"/>
    <x v="6"/>
    <x v="1"/>
    <x v="2"/>
    <s v="Senior"/>
    <n v="960000"/>
    <n v="0"/>
    <n v="22"/>
    <s v="Active"/>
    <s v="M"/>
    <s v="35-44"/>
    <s v="Senior"/>
  </r>
  <r>
    <s v="EMP010"/>
    <x v="0"/>
    <x v="5"/>
    <x v="1"/>
    <x v="4"/>
    <s v="Junior"/>
    <n v="605000"/>
    <n v="1"/>
    <n v="30"/>
    <s v="Active"/>
    <s v="M"/>
    <s v="25-34"/>
    <s v="Entry"/>
  </r>
  <r>
    <s v="EMP011"/>
    <x v="0"/>
    <x v="7"/>
    <x v="1"/>
    <x v="0"/>
    <s v="Senior"/>
    <n v="1320000"/>
    <n v="0"/>
    <n v="28"/>
    <s v="Active"/>
    <s v="M"/>
    <s v="35-44"/>
    <s v="Senior"/>
  </r>
  <r>
    <s v="EMP012"/>
    <x v="1"/>
    <x v="3"/>
    <x v="2"/>
    <x v="4"/>
    <s v="Entry"/>
    <n v="480000"/>
    <n v="0"/>
    <n v="10"/>
    <s v="Active"/>
    <s v="F"/>
    <s v="&lt;25"/>
    <s v="Entry"/>
  </r>
  <r>
    <s v="EMP013"/>
    <x v="1"/>
    <x v="8"/>
    <x v="0"/>
    <x v="2"/>
    <s v="Senior Manager"/>
    <n v="2515000"/>
    <n v="2"/>
    <n v="73"/>
    <s v="Exited"/>
    <s v="F"/>
    <s v="35-44"/>
    <s v="Leadership"/>
  </r>
  <r>
    <s v="EMP014"/>
    <x v="1"/>
    <x v="1"/>
    <x v="2"/>
    <x v="0"/>
    <s v="Entry"/>
    <n v="340000"/>
    <n v="0"/>
    <n v="16"/>
    <s v="Exited"/>
    <s v="F"/>
    <s v="&lt;25"/>
    <s v="Entry"/>
  </r>
  <r>
    <s v="EMP015"/>
    <x v="1"/>
    <x v="9"/>
    <x v="2"/>
    <x v="5"/>
    <s v="Manager"/>
    <n v="1970000"/>
    <n v="1"/>
    <n v="37"/>
    <s v="Active"/>
    <s v="F"/>
    <s v="35-44"/>
    <s v="Leadership"/>
  </r>
  <r>
    <s v="EMP016"/>
    <x v="1"/>
    <x v="10"/>
    <x v="2"/>
    <x v="5"/>
    <s v="Mid-Level"/>
    <n v="610000"/>
    <n v="0"/>
    <n v="38"/>
    <s v="Exited"/>
    <s v="F"/>
    <s v="25-34"/>
    <s v="Mid"/>
  </r>
  <r>
    <s v="EMP017"/>
    <x v="1"/>
    <x v="1"/>
    <x v="0"/>
    <x v="3"/>
    <s v="Junior"/>
    <n v="445000"/>
    <n v="1"/>
    <n v="36"/>
    <s v="Active"/>
    <s v="F"/>
    <s v="&lt;25"/>
    <s v="Entry"/>
  </r>
  <r>
    <s v="EMP018"/>
    <x v="0"/>
    <x v="11"/>
    <x v="2"/>
    <x v="6"/>
    <s v="Senior"/>
    <n v="1075000"/>
    <n v="0"/>
    <n v="58"/>
    <s v="Active"/>
    <s v="M"/>
    <s v="35-44"/>
    <s v="Senior"/>
  </r>
  <r>
    <s v="EMP019"/>
    <x v="0"/>
    <x v="7"/>
    <x v="1"/>
    <x v="5"/>
    <s v="Senior"/>
    <n v="1290000"/>
    <n v="1"/>
    <n v="53"/>
    <s v="Active"/>
    <s v="M"/>
    <s v="35-44"/>
    <s v="Senior"/>
  </r>
  <r>
    <s v="EMP020"/>
    <x v="0"/>
    <x v="5"/>
    <x v="1"/>
    <x v="5"/>
    <s v="Mid-Level"/>
    <n v="910000"/>
    <n v="0"/>
    <n v="19"/>
    <s v="Active"/>
    <s v="M"/>
    <s v="25-34"/>
    <s v="Mid"/>
  </r>
  <r>
    <s v="EMP021"/>
    <x v="1"/>
    <x v="7"/>
    <x v="0"/>
    <x v="7"/>
    <s v="Manager"/>
    <n v="1840000"/>
    <n v="0"/>
    <n v="67"/>
    <s v="Active"/>
    <s v="F"/>
    <s v="35-44"/>
    <s v="Leadership"/>
  </r>
  <r>
    <s v="EMP022"/>
    <x v="0"/>
    <x v="5"/>
    <x v="2"/>
    <x v="5"/>
    <s v="Junior"/>
    <n v="615000"/>
    <n v="0"/>
    <n v="13"/>
    <s v="Active"/>
    <s v="M"/>
    <s v="25-34"/>
    <s v="Entry"/>
  </r>
  <r>
    <s v="EMP023"/>
    <x v="0"/>
    <x v="12"/>
    <x v="1"/>
    <x v="7"/>
    <s v="Senior"/>
    <n v="1005000"/>
    <n v="0"/>
    <n v="41"/>
    <s v="Active"/>
    <s v="M"/>
    <s v="35-44"/>
    <s v="Senior"/>
  </r>
  <r>
    <s v="EMP024"/>
    <x v="1"/>
    <x v="3"/>
    <x v="0"/>
    <x v="5"/>
    <s v="Entry"/>
    <n v="375000"/>
    <n v="0"/>
    <n v="10"/>
    <s v="Active"/>
    <s v="F"/>
    <s v="&lt;25"/>
    <s v="Entry"/>
  </r>
  <r>
    <s v="EMP025"/>
    <x v="1"/>
    <x v="11"/>
    <x v="1"/>
    <x v="1"/>
    <s v="Senior"/>
    <n v="915000"/>
    <n v="3"/>
    <n v="35"/>
    <s v="Active"/>
    <s v="F"/>
    <s v="35-44"/>
    <s v="Senior"/>
  </r>
  <r>
    <s v="EMP026"/>
    <x v="1"/>
    <x v="8"/>
    <x v="2"/>
    <x v="1"/>
    <s v="Manager"/>
    <n v="1695000"/>
    <n v="0"/>
    <n v="49"/>
    <s v="Active"/>
    <s v="F"/>
    <s v="35-44"/>
    <s v="Leadership"/>
  </r>
  <r>
    <s v="EMP027"/>
    <x v="0"/>
    <x v="13"/>
    <x v="3"/>
    <x v="5"/>
    <s v="Senior"/>
    <n v="1485000"/>
    <n v="1"/>
    <n v="51"/>
    <s v="Active"/>
    <s v="M"/>
    <s v="35-44"/>
    <s v="Senior"/>
  </r>
  <r>
    <s v="EMP028"/>
    <x v="1"/>
    <x v="14"/>
    <x v="1"/>
    <x v="0"/>
    <s v="Senior"/>
    <n v="955000"/>
    <n v="1"/>
    <n v="52"/>
    <s v="Exited"/>
    <s v="F"/>
    <s v="25-34"/>
    <s v="Senior"/>
  </r>
  <r>
    <s v="EMP029"/>
    <x v="2"/>
    <x v="7"/>
    <x v="0"/>
    <x v="5"/>
    <s v="Manager"/>
    <n v="1925000"/>
    <n v="0"/>
    <n v="40"/>
    <s v="Active"/>
    <s v="Other"/>
    <s v="35-44"/>
    <s v="Leadership"/>
  </r>
  <r>
    <s v="EMP030"/>
    <x v="0"/>
    <x v="15"/>
    <x v="0"/>
    <x v="2"/>
    <s v="Mid-Level"/>
    <n v="945000"/>
    <n v="1"/>
    <n v="48"/>
    <s v="Active"/>
    <s v="M"/>
    <s v="25-34"/>
    <s v="Mid"/>
  </r>
  <r>
    <s v="EMP031"/>
    <x v="1"/>
    <x v="16"/>
    <x v="3"/>
    <x v="5"/>
    <s v="Junior"/>
    <n v="470000"/>
    <n v="1"/>
    <n v="19"/>
    <s v="Active"/>
    <s v="F"/>
    <s v="25-34"/>
    <s v="Entry"/>
  </r>
  <r>
    <s v="EMP032"/>
    <x v="0"/>
    <x v="17"/>
    <x v="2"/>
    <x v="0"/>
    <s v="Mid-Level"/>
    <n v="650000"/>
    <n v="0"/>
    <n v="28"/>
    <s v="Active"/>
    <s v="M"/>
    <s v="35-44"/>
    <s v="Mid"/>
  </r>
  <r>
    <s v="EMP033"/>
    <x v="1"/>
    <x v="18"/>
    <x v="4"/>
    <x v="5"/>
    <s v="Manager"/>
    <n v="1600000"/>
    <n v="0"/>
    <n v="59"/>
    <s v="Active"/>
    <s v="F"/>
    <s v="45-54"/>
    <s v="Leadership"/>
  </r>
  <r>
    <s v="EMP034"/>
    <x v="0"/>
    <x v="11"/>
    <x v="1"/>
    <x v="0"/>
    <s v="Senior"/>
    <n v="1215000"/>
    <n v="3"/>
    <n v="26"/>
    <s v="Exited"/>
    <s v="M"/>
    <s v="35-44"/>
    <s v="Senior"/>
  </r>
  <r>
    <s v="EMP035"/>
    <x v="0"/>
    <x v="15"/>
    <x v="0"/>
    <x v="4"/>
    <s v="Senior"/>
    <n v="1185000"/>
    <n v="0"/>
    <n v="33"/>
    <s v="Active"/>
    <s v="M"/>
    <s v="25-34"/>
    <s v="Senior"/>
  </r>
  <r>
    <s v="EMP036"/>
    <x v="0"/>
    <x v="14"/>
    <x v="2"/>
    <x v="3"/>
    <s v="Mid-Level"/>
    <n v="625000"/>
    <n v="0"/>
    <n v="42"/>
    <s v="Active"/>
    <s v="M"/>
    <s v="25-34"/>
    <s v="Mid"/>
  </r>
  <r>
    <s v="EMP037"/>
    <x v="1"/>
    <x v="14"/>
    <x v="1"/>
    <x v="3"/>
    <s v="Mid-Level"/>
    <n v="685000"/>
    <n v="1"/>
    <n v="50"/>
    <s v="Active"/>
    <s v="F"/>
    <s v="25-34"/>
    <s v="Mid"/>
  </r>
  <r>
    <s v="EMP038"/>
    <x v="0"/>
    <x v="19"/>
    <x v="3"/>
    <x v="5"/>
    <s v="Mid-Level"/>
    <n v="905000"/>
    <n v="1"/>
    <n v="42"/>
    <s v="Active"/>
    <s v="M"/>
    <s v="25-34"/>
    <s v="Mid"/>
  </r>
  <r>
    <s v="EMP039"/>
    <x v="1"/>
    <x v="12"/>
    <x v="2"/>
    <x v="3"/>
    <s v="Manager"/>
    <n v="1560000"/>
    <n v="1"/>
    <n v="47"/>
    <s v="Active"/>
    <s v="F"/>
    <s v="35-44"/>
    <s v="Leadership"/>
  </r>
  <r>
    <s v="EMP040"/>
    <x v="0"/>
    <x v="13"/>
    <x v="0"/>
    <x v="2"/>
    <s v="Manager"/>
    <n v="1470000"/>
    <n v="3"/>
    <n v="36"/>
    <s v="Exited"/>
    <s v="M"/>
    <s v="35-44"/>
    <s v="Leadership"/>
  </r>
  <r>
    <s v="EMP041"/>
    <x v="0"/>
    <x v="7"/>
    <x v="2"/>
    <x v="6"/>
    <s v="Senior"/>
    <n v="1160000"/>
    <n v="0"/>
    <n v="26"/>
    <s v="Active"/>
    <s v="M"/>
    <s v="35-44"/>
    <s v="Senior"/>
  </r>
  <r>
    <s v="EMP042"/>
    <x v="1"/>
    <x v="20"/>
    <x v="2"/>
    <x v="4"/>
    <s v="Senior"/>
    <n v="1265000"/>
    <n v="0"/>
    <n v="34"/>
    <s v="Active"/>
    <s v="F"/>
    <s v="35-44"/>
    <s v="Senior"/>
  </r>
  <r>
    <s v="EMP043"/>
    <x v="1"/>
    <x v="6"/>
    <x v="2"/>
    <x v="5"/>
    <s v="Manager"/>
    <n v="1670000"/>
    <n v="1"/>
    <n v="50"/>
    <s v="Active"/>
    <s v="F"/>
    <s v="35-44"/>
    <s v="Leadership"/>
  </r>
  <r>
    <s v="EMP044"/>
    <x v="1"/>
    <x v="4"/>
    <x v="2"/>
    <x v="2"/>
    <s v="Entry"/>
    <n v="345000"/>
    <n v="0"/>
    <n v="16"/>
    <s v="Active"/>
    <s v="F"/>
    <s v="&lt;25"/>
    <s v="Entry"/>
  </r>
  <r>
    <s v="EMP045"/>
    <x v="1"/>
    <x v="21"/>
    <x v="1"/>
    <x v="6"/>
    <s v="Mid-Level"/>
    <n v="660000"/>
    <n v="0"/>
    <n v="27"/>
    <s v="Active"/>
    <s v="F"/>
    <s v="35-44"/>
    <s v="Mid"/>
  </r>
  <r>
    <s v="EMP046"/>
    <x v="1"/>
    <x v="1"/>
    <x v="2"/>
    <x v="4"/>
    <s v="Junior"/>
    <n v="575000"/>
    <n v="0"/>
    <n v="31"/>
    <s v="Active"/>
    <s v="F"/>
    <s v="&lt;25"/>
    <s v="Entry"/>
  </r>
  <r>
    <s v="EMP047"/>
    <x v="0"/>
    <x v="17"/>
    <x v="3"/>
    <x v="3"/>
    <s v="Senior"/>
    <n v="1320000"/>
    <n v="1"/>
    <n v="55"/>
    <s v="Active"/>
    <s v="M"/>
    <s v="35-44"/>
    <s v="Senior"/>
  </r>
  <r>
    <s v="EMP048"/>
    <x v="0"/>
    <x v="14"/>
    <x v="3"/>
    <x v="2"/>
    <s v="Mid-Level"/>
    <n v="815000"/>
    <n v="1"/>
    <n v="15"/>
    <s v="Active"/>
    <s v="M"/>
    <s v="25-34"/>
    <s v="Mid"/>
  </r>
  <r>
    <s v="EMP049"/>
    <x v="2"/>
    <x v="10"/>
    <x v="0"/>
    <x v="0"/>
    <s v="Mid-Level"/>
    <n v="955000"/>
    <n v="0"/>
    <n v="45"/>
    <s v="Active"/>
    <s v="Other"/>
    <s v="25-34"/>
    <s v="Mid"/>
  </r>
  <r>
    <s v="EMP050"/>
    <x v="0"/>
    <x v="22"/>
    <x v="3"/>
    <x v="3"/>
    <s v="Junior"/>
    <n v="450000"/>
    <n v="1"/>
    <n v="34"/>
    <s v="Active"/>
    <s v="M"/>
    <s v="25-34"/>
    <s v="Entry"/>
  </r>
  <r>
    <s v="EMP051"/>
    <x v="1"/>
    <x v="3"/>
    <x v="0"/>
    <x v="1"/>
    <s v="Entry"/>
    <n v="425000"/>
    <n v="0"/>
    <n v="10"/>
    <s v="Active"/>
    <s v="F"/>
    <s v="&lt;25"/>
    <s v="Entry"/>
  </r>
  <r>
    <s v="EMP052"/>
    <x v="1"/>
    <x v="5"/>
    <x v="3"/>
    <x v="1"/>
    <s v="Mid-Level"/>
    <n v="675000"/>
    <n v="1"/>
    <n v="15"/>
    <s v="Exited"/>
    <s v="F"/>
    <s v="25-34"/>
    <s v="Mid"/>
  </r>
  <r>
    <s v="EMP053"/>
    <x v="0"/>
    <x v="14"/>
    <x v="1"/>
    <x v="7"/>
    <s v="Junior"/>
    <n v="645000"/>
    <n v="0"/>
    <n v="17"/>
    <s v="Exited"/>
    <s v="M"/>
    <s v="25-34"/>
    <s v="Entry"/>
  </r>
  <r>
    <s v="EMP054"/>
    <x v="1"/>
    <x v="11"/>
    <x v="2"/>
    <x v="7"/>
    <s v="Senior"/>
    <n v="1235000"/>
    <n v="3"/>
    <n v="48"/>
    <s v="Active"/>
    <s v="F"/>
    <s v="35-44"/>
    <s v="Senior"/>
  </r>
  <r>
    <s v="EMP055"/>
    <x v="0"/>
    <x v="23"/>
    <x v="0"/>
    <x v="7"/>
    <s v="Manager"/>
    <n v="1770000"/>
    <n v="0"/>
    <n v="40"/>
    <s v="Active"/>
    <s v="M"/>
    <s v="45-54"/>
    <s v="Leadership"/>
  </r>
  <r>
    <s v="EMP056"/>
    <x v="0"/>
    <x v="14"/>
    <x v="3"/>
    <x v="0"/>
    <s v="Mid-Level"/>
    <n v="830000"/>
    <n v="0"/>
    <n v="33"/>
    <s v="Active"/>
    <s v="M"/>
    <s v="25-34"/>
    <s v="Mid"/>
  </r>
  <r>
    <s v="EMP057"/>
    <x v="0"/>
    <x v="3"/>
    <x v="2"/>
    <x v="7"/>
    <s v="Entry"/>
    <n v="400000"/>
    <n v="1"/>
    <n v="30"/>
    <s v="Active"/>
    <s v="M"/>
    <s v="&lt;25"/>
    <s v="Entry"/>
  </r>
  <r>
    <s v="EMP058"/>
    <x v="1"/>
    <x v="5"/>
    <x v="2"/>
    <x v="5"/>
    <s v="Mid-Level"/>
    <n v="820000"/>
    <n v="0"/>
    <n v="16"/>
    <s v="Exited"/>
    <s v="F"/>
    <s v="25-34"/>
    <s v="Mid"/>
  </r>
  <r>
    <s v="EMP059"/>
    <x v="1"/>
    <x v="9"/>
    <x v="3"/>
    <x v="6"/>
    <s v="Manager"/>
    <n v="1710000"/>
    <n v="2"/>
    <n v="51"/>
    <s v="Active"/>
    <s v="F"/>
    <s v="35-44"/>
    <s v="Leadership"/>
  </r>
  <r>
    <s v="EMP060"/>
    <x v="1"/>
    <x v="14"/>
    <x v="2"/>
    <x v="3"/>
    <s v="Mid-Level"/>
    <n v="830000"/>
    <n v="0"/>
    <n v="39"/>
    <s v="Active"/>
    <s v="F"/>
    <s v="25-34"/>
    <s v="Mid"/>
  </r>
  <r>
    <s v="EMP061"/>
    <x v="0"/>
    <x v="24"/>
    <x v="0"/>
    <x v="5"/>
    <s v="Senior"/>
    <n v="1035000"/>
    <n v="3"/>
    <n v="54"/>
    <s v="Active"/>
    <s v="M"/>
    <s v="45-54"/>
    <s v="Senior"/>
  </r>
  <r>
    <s v="EMP062"/>
    <x v="0"/>
    <x v="1"/>
    <x v="1"/>
    <x v="2"/>
    <s v="Entry"/>
    <n v="335000"/>
    <n v="1"/>
    <n v="13"/>
    <s v="Active"/>
    <s v="M"/>
    <s v="&lt;25"/>
    <s v="Entry"/>
  </r>
  <r>
    <s v="EMP063"/>
    <x v="1"/>
    <x v="16"/>
    <x v="2"/>
    <x v="5"/>
    <s v="Junior"/>
    <n v="545000"/>
    <n v="1"/>
    <n v="36"/>
    <s v="Active"/>
    <s v="F"/>
    <s v="25-34"/>
    <s v="Entry"/>
  </r>
  <r>
    <s v="EMP064"/>
    <x v="0"/>
    <x v="25"/>
    <x v="1"/>
    <x v="6"/>
    <s v="Senior Manager"/>
    <n v="2035000"/>
    <n v="1"/>
    <n v="79"/>
    <s v="Exited"/>
    <s v="M"/>
    <s v="45-54"/>
    <s v="Leadership"/>
  </r>
  <r>
    <s v="EMP065"/>
    <x v="1"/>
    <x v="4"/>
    <x v="1"/>
    <x v="4"/>
    <s v="Junior"/>
    <n v="480000"/>
    <n v="0"/>
    <n v="25"/>
    <s v="Active"/>
    <s v="F"/>
    <s v="&lt;25"/>
    <s v="Entry"/>
  </r>
  <r>
    <s v="EMP066"/>
    <x v="0"/>
    <x v="15"/>
    <x v="1"/>
    <x v="4"/>
    <s v="Senior"/>
    <n v="1020000"/>
    <n v="2"/>
    <n v="30"/>
    <s v="Exited"/>
    <s v="M"/>
    <s v="25-34"/>
    <s v="Senior"/>
  </r>
  <r>
    <s v="EMP067"/>
    <x v="1"/>
    <x v="15"/>
    <x v="0"/>
    <x v="0"/>
    <s v="Mid-Level"/>
    <n v="810000"/>
    <n v="2"/>
    <n v="27"/>
    <s v="Active"/>
    <s v="F"/>
    <s v="25-34"/>
    <s v="Mid"/>
  </r>
  <r>
    <s v="EMP068"/>
    <x v="0"/>
    <x v="21"/>
    <x v="2"/>
    <x v="2"/>
    <s v="Senior"/>
    <n v="1025000"/>
    <n v="2"/>
    <n v="56"/>
    <s v="Active"/>
    <s v="M"/>
    <s v="35-44"/>
    <s v="Senior"/>
  </r>
  <r>
    <s v="EMP069"/>
    <x v="0"/>
    <x v="26"/>
    <x v="3"/>
    <x v="7"/>
    <s v="Entry"/>
    <n v="390000"/>
    <n v="0"/>
    <n v="21"/>
    <s v="Active"/>
    <s v="M"/>
    <s v="25-34"/>
    <s v="Entry"/>
  </r>
  <r>
    <s v="EMP070"/>
    <x v="1"/>
    <x v="7"/>
    <x v="0"/>
    <x v="7"/>
    <s v="Senior"/>
    <n v="1085000"/>
    <n v="2"/>
    <n v="37"/>
    <s v="Active"/>
    <s v="F"/>
    <s v="35-44"/>
    <s v="Senior"/>
  </r>
  <r>
    <s v="EMP071"/>
    <x v="0"/>
    <x v="20"/>
    <x v="3"/>
    <x v="6"/>
    <s v="Mid-Level"/>
    <n v="910000"/>
    <n v="0"/>
    <n v="30"/>
    <s v="Active"/>
    <s v="M"/>
    <s v="35-44"/>
    <s v="Mid"/>
  </r>
  <r>
    <s v="EMP072"/>
    <x v="0"/>
    <x v="8"/>
    <x v="1"/>
    <x v="4"/>
    <s v="Senior"/>
    <n v="1295000"/>
    <n v="0"/>
    <n v="51"/>
    <s v="Exited"/>
    <s v="M"/>
    <s v="35-44"/>
    <s v="Senior"/>
  </r>
  <r>
    <s v="EMP073"/>
    <x v="0"/>
    <x v="0"/>
    <x v="2"/>
    <x v="6"/>
    <s v="Junior"/>
    <n v="690000"/>
    <n v="0"/>
    <n v="40"/>
    <s v="Active"/>
    <s v="M"/>
    <s v="25-34"/>
    <s v="Entry"/>
  </r>
  <r>
    <s v="EMP074"/>
    <x v="0"/>
    <x v="12"/>
    <x v="0"/>
    <x v="4"/>
    <s v="Senior"/>
    <n v="1415000"/>
    <n v="1"/>
    <n v="21"/>
    <s v="Active"/>
    <s v="M"/>
    <s v="35-44"/>
    <s v="Senior"/>
  </r>
  <r>
    <s v="EMP075"/>
    <x v="1"/>
    <x v="17"/>
    <x v="2"/>
    <x v="7"/>
    <s v="Senior"/>
    <n v="1395000"/>
    <n v="1"/>
    <n v="42"/>
    <s v="Active"/>
    <s v="F"/>
    <s v="35-44"/>
    <s v="Senior"/>
  </r>
  <r>
    <s v="EMP076"/>
    <x v="1"/>
    <x v="0"/>
    <x v="3"/>
    <x v="3"/>
    <s v="Junior"/>
    <n v="520000"/>
    <n v="0"/>
    <n v="16"/>
    <s v="Active"/>
    <s v="F"/>
    <s v="25-34"/>
    <s v="Entry"/>
  </r>
  <r>
    <s v="EMP077"/>
    <x v="0"/>
    <x v="5"/>
    <x v="1"/>
    <x v="6"/>
    <s v="Junior"/>
    <n v="545000"/>
    <n v="1"/>
    <n v="34"/>
    <s v="Active"/>
    <s v="M"/>
    <s v="25-34"/>
    <s v="Entry"/>
  </r>
  <r>
    <s v="EMP078"/>
    <x v="0"/>
    <x v="22"/>
    <x v="4"/>
    <x v="4"/>
    <s v="Junior"/>
    <n v="495000"/>
    <n v="0"/>
    <n v="32"/>
    <s v="Active"/>
    <s v="M"/>
    <s v="25-34"/>
    <s v="Entry"/>
  </r>
  <r>
    <s v="EMP079"/>
    <x v="0"/>
    <x v="15"/>
    <x v="2"/>
    <x v="3"/>
    <s v="Senior"/>
    <n v="1415000"/>
    <n v="0"/>
    <n v="20"/>
    <s v="Active"/>
    <s v="M"/>
    <s v="25-34"/>
    <s v="Senior"/>
  </r>
  <r>
    <s v="EMP080"/>
    <x v="0"/>
    <x v="27"/>
    <x v="1"/>
    <x v="5"/>
    <s v="Senior Manager"/>
    <n v="2785000"/>
    <n v="2"/>
    <n v="37"/>
    <s v="Active"/>
    <s v="M"/>
    <s v="45-54"/>
    <s v="Leadership"/>
  </r>
  <r>
    <s v="EMP081"/>
    <x v="0"/>
    <x v="0"/>
    <x v="0"/>
    <x v="6"/>
    <s v="Entry"/>
    <n v="450000"/>
    <n v="1"/>
    <n v="10"/>
    <s v="Exited"/>
    <s v="M"/>
    <s v="25-34"/>
    <s v="Entry"/>
  </r>
  <r>
    <s v="EMP082"/>
    <x v="3"/>
    <x v="7"/>
    <x v="2"/>
    <x v="5"/>
    <s v="Senior"/>
    <n v="1370000"/>
    <n v="3"/>
    <n v="39"/>
    <s v="Exited"/>
    <s v="Undisclosed"/>
    <s v="35-44"/>
    <s v="Senior"/>
  </r>
  <r>
    <s v="EMP083"/>
    <x v="0"/>
    <x v="20"/>
    <x v="1"/>
    <x v="6"/>
    <s v="Mid-Level"/>
    <n v="650000"/>
    <n v="2"/>
    <n v="28"/>
    <s v="Active"/>
    <s v="M"/>
    <s v="35-44"/>
    <s v="Mid"/>
  </r>
  <r>
    <s v="EMP084"/>
    <x v="0"/>
    <x v="28"/>
    <x v="1"/>
    <x v="4"/>
    <s v="Entry"/>
    <n v="340000"/>
    <n v="0"/>
    <n v="22"/>
    <s v="Active"/>
    <s v="M"/>
    <s v="&lt;25"/>
    <s v="Entry"/>
  </r>
  <r>
    <s v="EMP085"/>
    <x v="1"/>
    <x v="13"/>
    <x v="0"/>
    <x v="6"/>
    <s v="Senior"/>
    <n v="1375000"/>
    <n v="0"/>
    <n v="34"/>
    <s v="Exited"/>
    <s v="F"/>
    <s v="35-44"/>
    <s v="Senior"/>
  </r>
  <r>
    <s v="EMP086"/>
    <x v="0"/>
    <x v="21"/>
    <x v="1"/>
    <x v="4"/>
    <s v="Mid-Level"/>
    <n v="720000"/>
    <n v="1"/>
    <n v="32"/>
    <s v="Active"/>
    <s v="M"/>
    <s v="35-44"/>
    <s v="Mid"/>
  </r>
  <r>
    <s v="EMP087"/>
    <x v="1"/>
    <x v="17"/>
    <x v="3"/>
    <x v="7"/>
    <s v="Mid-Level"/>
    <n v="750000"/>
    <n v="0"/>
    <n v="44"/>
    <s v="Active"/>
    <s v="F"/>
    <s v="35-44"/>
    <s v="Mid"/>
  </r>
  <r>
    <s v="EMP088"/>
    <x v="0"/>
    <x v="17"/>
    <x v="1"/>
    <x v="5"/>
    <s v="Mid-Level"/>
    <n v="620000"/>
    <n v="2"/>
    <n v="35"/>
    <s v="Active"/>
    <s v="M"/>
    <s v="35-44"/>
    <s v="Mid"/>
  </r>
  <r>
    <s v="EMP089"/>
    <x v="1"/>
    <x v="27"/>
    <x v="2"/>
    <x v="4"/>
    <s v="Senior Manager"/>
    <n v="2405000"/>
    <n v="0"/>
    <n v="78"/>
    <s v="Active"/>
    <s v="F"/>
    <s v="45-54"/>
    <s v="Leadership"/>
  </r>
  <r>
    <s v="EMP090"/>
    <x v="0"/>
    <x v="16"/>
    <x v="0"/>
    <x v="3"/>
    <s v="Junior"/>
    <n v="660000"/>
    <n v="1"/>
    <n v="25"/>
    <s v="Active"/>
    <s v="M"/>
    <s v="25-34"/>
    <s v="Entry"/>
  </r>
  <r>
    <s v="EMP091"/>
    <x v="1"/>
    <x v="5"/>
    <x v="2"/>
    <x v="2"/>
    <s v="Junior"/>
    <n v="550000"/>
    <n v="0"/>
    <n v="22"/>
    <s v="Active"/>
    <s v="F"/>
    <s v="25-34"/>
    <s v="Entry"/>
  </r>
  <r>
    <s v="EMP092"/>
    <x v="1"/>
    <x v="1"/>
    <x v="2"/>
    <x v="1"/>
    <s v="Junior"/>
    <n v="610000"/>
    <n v="1"/>
    <n v="36"/>
    <s v="Exited"/>
    <s v="F"/>
    <s v="&lt;25"/>
    <s v="Entry"/>
  </r>
  <r>
    <s v="EMP093"/>
    <x v="1"/>
    <x v="29"/>
    <x v="1"/>
    <x v="3"/>
    <s v="Entry"/>
    <n v="395000"/>
    <n v="0"/>
    <n v="23"/>
    <s v="Active"/>
    <s v="F"/>
    <s v="25-34"/>
    <s v="Entry"/>
  </r>
  <r>
    <s v="EMP094"/>
    <x v="0"/>
    <x v="30"/>
    <x v="1"/>
    <x v="5"/>
    <s v="Manager"/>
    <n v="1810000"/>
    <n v="0"/>
    <n v="65"/>
    <s v="Active"/>
    <s v="M"/>
    <s v="45-54"/>
    <s v="Leadership"/>
  </r>
  <r>
    <s v="EMP095"/>
    <x v="0"/>
    <x v="22"/>
    <x v="3"/>
    <x v="7"/>
    <s v="Mid-Level"/>
    <n v="720000"/>
    <n v="2"/>
    <n v="22"/>
    <s v="Active"/>
    <s v="M"/>
    <s v="25-34"/>
    <s v="Mid"/>
  </r>
  <r>
    <s v="EMP096"/>
    <x v="3"/>
    <x v="9"/>
    <x v="1"/>
    <x v="3"/>
    <s v="Manager"/>
    <n v="1835000"/>
    <n v="2"/>
    <n v="51"/>
    <s v="Active"/>
    <s v="Undisclosed"/>
    <s v="35-44"/>
    <s v="Leadership"/>
  </r>
  <r>
    <s v="EMP097"/>
    <x v="1"/>
    <x v="14"/>
    <x v="2"/>
    <x v="4"/>
    <s v="Junior"/>
    <n v="470000"/>
    <n v="1"/>
    <n v="18"/>
    <s v="Active"/>
    <s v="F"/>
    <s v="25-34"/>
    <s v="Entry"/>
  </r>
  <r>
    <s v="EMP098"/>
    <x v="1"/>
    <x v="21"/>
    <x v="1"/>
    <x v="7"/>
    <s v="Senior"/>
    <n v="1215000"/>
    <n v="2"/>
    <n v="57"/>
    <s v="Exited"/>
    <s v="F"/>
    <s v="35-44"/>
    <s v="Senior"/>
  </r>
  <r>
    <s v="EMP099"/>
    <x v="0"/>
    <x v="14"/>
    <x v="0"/>
    <x v="1"/>
    <s v="Junior"/>
    <n v="685000"/>
    <n v="0"/>
    <n v="39"/>
    <s v="Active"/>
    <s v="M"/>
    <s v="25-34"/>
    <s v="Entry"/>
  </r>
  <r>
    <s v="EMP100"/>
    <x v="1"/>
    <x v="16"/>
    <x v="2"/>
    <x v="3"/>
    <s v="Junior"/>
    <n v="425000"/>
    <n v="0"/>
    <n v="25"/>
    <s v="Active"/>
    <s v="F"/>
    <s v="25-34"/>
    <s v="Entry"/>
  </r>
  <r>
    <s v="EMP101"/>
    <x v="1"/>
    <x v="0"/>
    <x v="2"/>
    <x v="7"/>
    <s v="Mid-Level"/>
    <n v="665000"/>
    <n v="1"/>
    <n v="36"/>
    <s v="Exited"/>
    <s v="F"/>
    <s v="25-34"/>
    <s v="Mid"/>
  </r>
  <r>
    <s v="EMP102"/>
    <x v="1"/>
    <x v="3"/>
    <x v="1"/>
    <x v="1"/>
    <s v="Entry"/>
    <n v="405000"/>
    <n v="1"/>
    <n v="12"/>
    <s v="Active"/>
    <s v="F"/>
    <s v="&lt;25"/>
    <s v="Entry"/>
  </r>
  <r>
    <s v="EMP103"/>
    <x v="1"/>
    <x v="19"/>
    <x v="3"/>
    <x v="7"/>
    <s v="Mid-Level"/>
    <n v="955000"/>
    <n v="2"/>
    <n v="39"/>
    <s v="Exited"/>
    <s v="F"/>
    <s v="25-34"/>
    <s v="Mid"/>
  </r>
  <r>
    <s v="EMP104"/>
    <x v="0"/>
    <x v="17"/>
    <x v="1"/>
    <x v="0"/>
    <s v="Manager"/>
    <n v="1945000"/>
    <n v="0"/>
    <n v="65"/>
    <s v="Active"/>
    <s v="M"/>
    <s v="35-44"/>
    <s v="Leadership"/>
  </r>
  <r>
    <s v="EMP105"/>
    <x v="1"/>
    <x v="22"/>
    <x v="3"/>
    <x v="5"/>
    <s v="Mid-Level"/>
    <n v="1000000"/>
    <n v="1"/>
    <n v="21"/>
    <s v="Active"/>
    <s v="F"/>
    <s v="25-34"/>
    <s v="Mid"/>
  </r>
  <r>
    <s v="EMP106"/>
    <x v="1"/>
    <x v="4"/>
    <x v="0"/>
    <x v="3"/>
    <s v="Junior"/>
    <n v="555000"/>
    <n v="0"/>
    <n v="23"/>
    <s v="Active"/>
    <s v="F"/>
    <s v="&lt;25"/>
    <s v="Entry"/>
  </r>
  <r>
    <s v="EMP107"/>
    <x v="1"/>
    <x v="28"/>
    <x v="0"/>
    <x v="6"/>
    <s v="Entry"/>
    <n v="460000"/>
    <n v="1"/>
    <n v="27"/>
    <s v="Active"/>
    <s v="F"/>
    <s v="&lt;25"/>
    <s v="Entry"/>
  </r>
  <r>
    <s v="EMP108"/>
    <x v="0"/>
    <x v="14"/>
    <x v="2"/>
    <x v="3"/>
    <s v="Mid-Level"/>
    <n v="840000"/>
    <n v="0"/>
    <n v="15"/>
    <s v="Exited"/>
    <s v="M"/>
    <s v="25-34"/>
    <s v="Mid"/>
  </r>
  <r>
    <s v="EMP109"/>
    <x v="0"/>
    <x v="4"/>
    <x v="2"/>
    <x v="1"/>
    <s v="Entry"/>
    <n v="455000"/>
    <n v="0"/>
    <n v="21"/>
    <s v="Active"/>
    <s v="M"/>
    <s v="&lt;25"/>
    <s v="Entry"/>
  </r>
  <r>
    <s v="EMP110"/>
    <x v="3"/>
    <x v="20"/>
    <x v="2"/>
    <x v="1"/>
    <s v="Manager"/>
    <n v="1550000"/>
    <n v="0"/>
    <n v="47"/>
    <s v="Active"/>
    <s v="Undisclosed"/>
    <s v="35-44"/>
    <s v="Leadership"/>
  </r>
  <r>
    <s v="EMP111"/>
    <x v="1"/>
    <x v="4"/>
    <x v="0"/>
    <x v="2"/>
    <s v="Junior"/>
    <n v="660000"/>
    <n v="1"/>
    <n v="38"/>
    <s v="Active"/>
    <s v="F"/>
    <s v="&lt;25"/>
    <s v="Entry"/>
  </r>
  <r>
    <s v="EMP112"/>
    <x v="1"/>
    <x v="26"/>
    <x v="1"/>
    <x v="0"/>
    <s v="Junior"/>
    <n v="530000"/>
    <n v="1"/>
    <n v="33"/>
    <s v="Active"/>
    <s v="F"/>
    <s v="25-34"/>
    <s v="Entry"/>
  </r>
  <r>
    <s v="EMP113"/>
    <x v="1"/>
    <x v="17"/>
    <x v="1"/>
    <x v="4"/>
    <s v="Manager"/>
    <n v="1625000"/>
    <n v="2"/>
    <n v="27"/>
    <s v="Active"/>
    <s v="F"/>
    <s v="35-44"/>
    <s v="Leadership"/>
  </r>
  <r>
    <s v="EMP114"/>
    <x v="3"/>
    <x v="16"/>
    <x v="2"/>
    <x v="4"/>
    <s v="Junior"/>
    <n v="490000"/>
    <n v="0"/>
    <n v="35"/>
    <s v="Active"/>
    <s v="Undisclosed"/>
    <s v="25-34"/>
    <s v="Entry"/>
  </r>
  <r>
    <s v="EMP115"/>
    <x v="0"/>
    <x v="21"/>
    <x v="1"/>
    <x v="0"/>
    <s v="Senior"/>
    <n v="1405000"/>
    <n v="3"/>
    <n v="38"/>
    <s v="Active"/>
    <s v="M"/>
    <s v="35-44"/>
    <s v="Senior"/>
  </r>
  <r>
    <s v="EMP116"/>
    <x v="1"/>
    <x v="3"/>
    <x v="2"/>
    <x v="1"/>
    <s v="Entry"/>
    <n v="475000"/>
    <n v="1"/>
    <n v="20"/>
    <s v="Exited"/>
    <s v="F"/>
    <s v="&lt;25"/>
    <s v="Entry"/>
  </r>
  <r>
    <s v="EMP117"/>
    <x v="0"/>
    <x v="29"/>
    <x v="2"/>
    <x v="2"/>
    <s v="Entry"/>
    <n v="330000"/>
    <n v="0"/>
    <n v="29"/>
    <s v="Active"/>
    <s v="M"/>
    <s v="25-34"/>
    <s v="Entry"/>
  </r>
  <r>
    <s v="EMP118"/>
    <x v="1"/>
    <x v="3"/>
    <x v="0"/>
    <x v="7"/>
    <s v="Entry"/>
    <n v="425000"/>
    <n v="0"/>
    <n v="25"/>
    <s v="Active"/>
    <s v="F"/>
    <s v="&lt;25"/>
    <s v="Entry"/>
  </r>
  <r>
    <s v="EMP119"/>
    <x v="0"/>
    <x v="9"/>
    <x v="4"/>
    <x v="0"/>
    <s v="Manager"/>
    <n v="1980000"/>
    <n v="1"/>
    <n v="33"/>
    <s v="Active"/>
    <s v="M"/>
    <s v="35-44"/>
    <s v="Leadership"/>
  </r>
  <r>
    <s v="EMP120"/>
    <x v="1"/>
    <x v="29"/>
    <x v="3"/>
    <x v="1"/>
    <s v="Entry"/>
    <n v="335000"/>
    <n v="0"/>
    <n v="19"/>
    <s v="Active"/>
    <s v="F"/>
    <s v="25-34"/>
    <s v="Entry"/>
  </r>
  <r>
    <s v="EMP121"/>
    <x v="1"/>
    <x v="20"/>
    <x v="3"/>
    <x v="4"/>
    <s v="Mid-Level"/>
    <n v="680000"/>
    <n v="2"/>
    <n v="21"/>
    <s v="Active"/>
    <s v="F"/>
    <s v="35-44"/>
    <s v="Mid"/>
  </r>
  <r>
    <s v="EMP122"/>
    <x v="0"/>
    <x v="4"/>
    <x v="0"/>
    <x v="2"/>
    <s v="Entry"/>
    <n v="355000"/>
    <n v="0"/>
    <n v="15"/>
    <s v="Exited"/>
    <s v="M"/>
    <s v="&lt;25"/>
    <s v="Entry"/>
  </r>
  <r>
    <s v="EMP123"/>
    <x v="0"/>
    <x v="4"/>
    <x v="0"/>
    <x v="5"/>
    <s v="Entry"/>
    <n v="350000"/>
    <n v="1"/>
    <n v="22"/>
    <s v="Active"/>
    <s v="M"/>
    <s v="&lt;25"/>
    <s v="Entry"/>
  </r>
  <r>
    <s v="EMP124"/>
    <x v="1"/>
    <x v="4"/>
    <x v="0"/>
    <x v="6"/>
    <s v="Entry"/>
    <n v="365000"/>
    <n v="1"/>
    <n v="26"/>
    <s v="Active"/>
    <s v="F"/>
    <s v="&lt;25"/>
    <s v="Entry"/>
  </r>
  <r>
    <s v="EMP125"/>
    <x v="1"/>
    <x v="10"/>
    <x v="1"/>
    <x v="3"/>
    <s v="Senior"/>
    <n v="1245000"/>
    <n v="2"/>
    <n v="58"/>
    <s v="Active"/>
    <s v="F"/>
    <s v="25-34"/>
    <s v="Senior"/>
  </r>
  <r>
    <s v="EMP126"/>
    <x v="0"/>
    <x v="16"/>
    <x v="3"/>
    <x v="2"/>
    <s v="Mid-Level"/>
    <n v="660000"/>
    <n v="1"/>
    <n v="16"/>
    <s v="Active"/>
    <s v="M"/>
    <s v="25-34"/>
    <s v="Mid"/>
  </r>
  <r>
    <s v="EMP127"/>
    <x v="1"/>
    <x v="4"/>
    <x v="2"/>
    <x v="2"/>
    <s v="Entry"/>
    <n v="315000"/>
    <n v="0"/>
    <n v="21"/>
    <s v="Active"/>
    <s v="F"/>
    <s v="&lt;25"/>
    <s v="Entry"/>
  </r>
  <r>
    <s v="EMP128"/>
    <x v="1"/>
    <x v="22"/>
    <x v="0"/>
    <x v="4"/>
    <s v="Mid-Level"/>
    <n v="835000"/>
    <n v="1"/>
    <n v="17"/>
    <s v="Active"/>
    <s v="F"/>
    <s v="25-34"/>
    <s v="Mid"/>
  </r>
  <r>
    <s v="EMP129"/>
    <x v="0"/>
    <x v="0"/>
    <x v="0"/>
    <x v="7"/>
    <s v="Mid-Level"/>
    <n v="630000"/>
    <n v="2"/>
    <n v="40"/>
    <s v="Active"/>
    <s v="M"/>
    <s v="25-34"/>
    <s v="Mid"/>
  </r>
  <r>
    <s v="EMP130"/>
    <x v="1"/>
    <x v="28"/>
    <x v="0"/>
    <x v="2"/>
    <s v="Entry"/>
    <n v="385000"/>
    <n v="0"/>
    <n v="10"/>
    <s v="Active"/>
    <s v="F"/>
    <s v="&lt;25"/>
    <s v="Entry"/>
  </r>
  <r>
    <s v="EMP131"/>
    <x v="1"/>
    <x v="14"/>
    <x v="1"/>
    <x v="6"/>
    <s v="Junior"/>
    <n v="555000"/>
    <n v="0"/>
    <n v="29"/>
    <s v="Active"/>
    <s v="F"/>
    <s v="25-34"/>
    <s v="Entry"/>
  </r>
  <r>
    <s v="EMP132"/>
    <x v="1"/>
    <x v="5"/>
    <x v="2"/>
    <x v="2"/>
    <s v="Mid-Level"/>
    <n v="815000"/>
    <n v="0"/>
    <n v="44"/>
    <s v="Active"/>
    <s v="F"/>
    <s v="25-34"/>
    <s v="Mid"/>
  </r>
  <r>
    <s v="EMP133"/>
    <x v="1"/>
    <x v="17"/>
    <x v="1"/>
    <x v="0"/>
    <s v="Senior"/>
    <n v="1060000"/>
    <n v="1"/>
    <n v="50"/>
    <s v="Active"/>
    <s v="F"/>
    <s v="35-44"/>
    <s v="Senior"/>
  </r>
  <r>
    <s v="EMP134"/>
    <x v="1"/>
    <x v="17"/>
    <x v="0"/>
    <x v="1"/>
    <s v="Senior"/>
    <n v="1035000"/>
    <n v="1"/>
    <n v="57"/>
    <s v="Exited"/>
    <s v="F"/>
    <s v="35-44"/>
    <s v="Senior"/>
  </r>
  <r>
    <s v="EMP135"/>
    <x v="0"/>
    <x v="16"/>
    <x v="2"/>
    <x v="3"/>
    <s v="Junior"/>
    <n v="425000"/>
    <n v="1"/>
    <n v="29"/>
    <s v="Active"/>
    <s v="M"/>
    <s v="25-34"/>
    <s v="Entry"/>
  </r>
  <r>
    <s v="EMP136"/>
    <x v="1"/>
    <x v="10"/>
    <x v="0"/>
    <x v="1"/>
    <s v="Senior"/>
    <n v="1015000"/>
    <n v="0"/>
    <n v="55"/>
    <s v="Active"/>
    <s v="F"/>
    <s v="25-34"/>
    <s v="Senior"/>
  </r>
  <r>
    <s v="EMP137"/>
    <x v="0"/>
    <x v="6"/>
    <x v="0"/>
    <x v="2"/>
    <s v="Senior"/>
    <n v="1485000"/>
    <n v="0"/>
    <n v="37"/>
    <s v="Active"/>
    <s v="M"/>
    <s v="35-44"/>
    <s v="Senior"/>
  </r>
  <r>
    <s v="EMP138"/>
    <x v="1"/>
    <x v="29"/>
    <x v="4"/>
    <x v="0"/>
    <s v="Junior"/>
    <n v="475000"/>
    <n v="0"/>
    <n v="22"/>
    <s v="Active"/>
    <s v="F"/>
    <s v="25-34"/>
    <s v="Entry"/>
  </r>
  <r>
    <s v="EMP139"/>
    <x v="0"/>
    <x v="10"/>
    <x v="2"/>
    <x v="0"/>
    <s v="Senior"/>
    <n v="1295000"/>
    <n v="1"/>
    <n v="41"/>
    <s v="Active"/>
    <s v="M"/>
    <s v="25-34"/>
    <s v="Senior"/>
  </r>
  <r>
    <s v="EMP140"/>
    <x v="0"/>
    <x v="11"/>
    <x v="0"/>
    <x v="7"/>
    <s v="Manager"/>
    <n v="1465000"/>
    <n v="2"/>
    <n v="28"/>
    <s v="Active"/>
    <s v="M"/>
    <s v="35-44"/>
    <s v="Leadership"/>
  </r>
  <r>
    <s v="EMP141"/>
    <x v="0"/>
    <x v="15"/>
    <x v="2"/>
    <x v="7"/>
    <s v="Mid-Level"/>
    <n v="745000"/>
    <n v="0"/>
    <n v="47"/>
    <s v="Active"/>
    <s v="M"/>
    <s v="25-34"/>
    <s v="Mid"/>
  </r>
  <r>
    <s v="EMP142"/>
    <x v="0"/>
    <x v="14"/>
    <x v="1"/>
    <x v="3"/>
    <s v="Mid-Level"/>
    <n v="625000"/>
    <n v="0"/>
    <n v="18"/>
    <s v="Active"/>
    <s v="M"/>
    <s v="25-34"/>
    <s v="Mid"/>
  </r>
  <r>
    <s v="EMP143"/>
    <x v="0"/>
    <x v="21"/>
    <x v="2"/>
    <x v="6"/>
    <s v="Senior"/>
    <n v="1245000"/>
    <n v="0"/>
    <n v="51"/>
    <s v="Active"/>
    <s v="M"/>
    <s v="35-44"/>
    <s v="Senior"/>
  </r>
  <r>
    <s v="EMP144"/>
    <x v="0"/>
    <x v="7"/>
    <x v="1"/>
    <x v="2"/>
    <s v="Mid-Level"/>
    <n v="785000"/>
    <n v="0"/>
    <n v="17"/>
    <s v="Active"/>
    <s v="M"/>
    <s v="35-44"/>
    <s v="Mid"/>
  </r>
  <r>
    <s v="EMP145"/>
    <x v="0"/>
    <x v="17"/>
    <x v="3"/>
    <x v="3"/>
    <s v="Mid-Level"/>
    <n v="810000"/>
    <n v="1"/>
    <n v="41"/>
    <s v="Active"/>
    <s v="M"/>
    <s v="35-44"/>
    <s v="Mid"/>
  </r>
  <r>
    <s v="EMP146"/>
    <x v="1"/>
    <x v="8"/>
    <x v="1"/>
    <x v="1"/>
    <s v="Senior"/>
    <n v="1380000"/>
    <n v="2"/>
    <n v="43"/>
    <s v="Active"/>
    <s v="F"/>
    <s v="35-44"/>
    <s v="Senior"/>
  </r>
  <r>
    <s v="EMP147"/>
    <x v="0"/>
    <x v="15"/>
    <x v="2"/>
    <x v="0"/>
    <s v="Mid-Level"/>
    <n v="765000"/>
    <n v="1"/>
    <n v="29"/>
    <s v="Active"/>
    <s v="M"/>
    <s v="25-34"/>
    <s v="Mid"/>
  </r>
  <r>
    <s v="EMP148"/>
    <x v="0"/>
    <x v="5"/>
    <x v="1"/>
    <x v="3"/>
    <s v="Mid-Level"/>
    <n v="785000"/>
    <n v="0"/>
    <n v="24"/>
    <s v="Active"/>
    <s v="M"/>
    <s v="25-34"/>
    <s v="Mid"/>
  </r>
  <r>
    <s v="EMP149"/>
    <x v="1"/>
    <x v="12"/>
    <x v="0"/>
    <x v="7"/>
    <s v="Senior"/>
    <n v="980000"/>
    <n v="0"/>
    <n v="60"/>
    <s v="Active"/>
    <s v="F"/>
    <s v="35-44"/>
    <s v="Senior"/>
  </r>
  <r>
    <s v="EMP150"/>
    <x v="3"/>
    <x v="24"/>
    <x v="2"/>
    <x v="7"/>
    <s v="Senior"/>
    <n v="1490000"/>
    <n v="1"/>
    <n v="59"/>
    <s v="Active"/>
    <s v="Undisclosed"/>
    <s v="45-54"/>
    <s v="Senior"/>
  </r>
  <r>
    <s v="EMP151"/>
    <x v="0"/>
    <x v="1"/>
    <x v="1"/>
    <x v="7"/>
    <s v="Entry"/>
    <n v="465000"/>
    <n v="0"/>
    <n v="16"/>
    <s v="Active"/>
    <s v="M"/>
    <s v="&lt;25"/>
    <s v="Entry"/>
  </r>
  <r>
    <s v="EMP152"/>
    <x v="3"/>
    <x v="0"/>
    <x v="1"/>
    <x v="1"/>
    <s v="Mid-Level"/>
    <n v="795000"/>
    <n v="1"/>
    <n v="19"/>
    <s v="Active"/>
    <s v="Undisclosed"/>
    <s v="25-34"/>
    <s v="Mid"/>
  </r>
  <r>
    <s v="EMP153"/>
    <x v="1"/>
    <x v="21"/>
    <x v="1"/>
    <x v="7"/>
    <s v="Mid-Level"/>
    <n v="985000"/>
    <n v="2"/>
    <n v="43"/>
    <s v="Exited"/>
    <s v="F"/>
    <s v="35-44"/>
    <s v="Mid"/>
  </r>
  <r>
    <s v="EMP154"/>
    <x v="0"/>
    <x v="0"/>
    <x v="0"/>
    <x v="5"/>
    <s v="Mid-Level"/>
    <n v="835000"/>
    <n v="0"/>
    <n v="36"/>
    <s v="Exited"/>
    <s v="M"/>
    <s v="25-34"/>
    <s v="Mid"/>
  </r>
  <r>
    <s v="EMP155"/>
    <x v="0"/>
    <x v="5"/>
    <x v="2"/>
    <x v="1"/>
    <s v="Junior"/>
    <n v="630000"/>
    <n v="0"/>
    <n v="29"/>
    <s v="Active"/>
    <s v="M"/>
    <s v="25-34"/>
    <s v="Entry"/>
  </r>
  <r>
    <s v="EMP156"/>
    <x v="0"/>
    <x v="12"/>
    <x v="0"/>
    <x v="4"/>
    <s v="Senior"/>
    <n v="955000"/>
    <n v="2"/>
    <n v="41"/>
    <s v="Active"/>
    <s v="M"/>
    <s v="35-44"/>
    <s v="Senior"/>
  </r>
  <r>
    <s v="EMP157"/>
    <x v="0"/>
    <x v="29"/>
    <x v="3"/>
    <x v="1"/>
    <s v="Junior"/>
    <n v="575000"/>
    <n v="0"/>
    <n v="31"/>
    <s v="Active"/>
    <s v="M"/>
    <s v="25-34"/>
    <s v="Entry"/>
  </r>
  <r>
    <s v="EMP158"/>
    <x v="0"/>
    <x v="26"/>
    <x v="1"/>
    <x v="0"/>
    <s v="Entry"/>
    <n v="320000"/>
    <n v="0"/>
    <n v="20"/>
    <s v="Active"/>
    <s v="M"/>
    <s v="25-34"/>
    <s v="Entry"/>
  </r>
  <r>
    <s v="EMP159"/>
    <x v="2"/>
    <x v="15"/>
    <x v="2"/>
    <x v="7"/>
    <s v="Mid-Level"/>
    <n v="865000"/>
    <n v="0"/>
    <n v="38"/>
    <s v="Active"/>
    <s v="Other"/>
    <s v="25-34"/>
    <s v="Mid"/>
  </r>
  <r>
    <s v="EMP160"/>
    <x v="1"/>
    <x v="29"/>
    <x v="2"/>
    <x v="5"/>
    <s v="Junior"/>
    <n v="480000"/>
    <n v="0"/>
    <n v="37"/>
    <s v="Active"/>
    <s v="F"/>
    <s v="25-34"/>
    <s v="Entry"/>
  </r>
  <r>
    <s v="EMP161"/>
    <x v="1"/>
    <x v="24"/>
    <x v="0"/>
    <x v="3"/>
    <s v="Senior"/>
    <n v="1035000"/>
    <n v="1"/>
    <n v="29"/>
    <s v="Active"/>
    <s v="F"/>
    <s v="45-54"/>
    <s v="Senior"/>
  </r>
  <r>
    <s v="EMP162"/>
    <x v="1"/>
    <x v="14"/>
    <x v="0"/>
    <x v="7"/>
    <s v="Senior"/>
    <n v="1330000"/>
    <n v="0"/>
    <n v="35"/>
    <s v="Exited"/>
    <s v="F"/>
    <s v="25-34"/>
    <s v="Senior"/>
  </r>
  <r>
    <s v="EMP163"/>
    <x v="1"/>
    <x v="26"/>
    <x v="2"/>
    <x v="7"/>
    <s v="Junior"/>
    <n v="560000"/>
    <n v="1"/>
    <n v="35"/>
    <s v="Active"/>
    <s v="F"/>
    <s v="25-34"/>
    <s v="Entry"/>
  </r>
  <r>
    <s v="EMP164"/>
    <x v="1"/>
    <x v="14"/>
    <x v="3"/>
    <x v="3"/>
    <s v="Mid-Level"/>
    <n v="800000"/>
    <n v="1"/>
    <n v="41"/>
    <s v="Exited"/>
    <s v="F"/>
    <s v="25-34"/>
    <s v="Mid"/>
  </r>
  <r>
    <s v="EMP165"/>
    <x v="0"/>
    <x v="17"/>
    <x v="3"/>
    <x v="0"/>
    <s v="Manager"/>
    <n v="1970000"/>
    <n v="1"/>
    <n v="48"/>
    <s v="Active"/>
    <s v="M"/>
    <s v="35-44"/>
    <s v="Leadership"/>
  </r>
  <r>
    <s v="EMP166"/>
    <x v="0"/>
    <x v="29"/>
    <x v="3"/>
    <x v="6"/>
    <s v="Junior"/>
    <n v="545000"/>
    <n v="0"/>
    <n v="26"/>
    <s v="Active"/>
    <s v="M"/>
    <s v="25-34"/>
    <s v="Entry"/>
  </r>
  <r>
    <s v="EMP167"/>
    <x v="1"/>
    <x v="24"/>
    <x v="1"/>
    <x v="0"/>
    <s v="Senior"/>
    <n v="1265000"/>
    <n v="3"/>
    <n v="46"/>
    <s v="Active"/>
    <s v="F"/>
    <s v="45-54"/>
    <s v="Senior"/>
  </r>
  <r>
    <s v="EMP168"/>
    <x v="0"/>
    <x v="4"/>
    <x v="1"/>
    <x v="5"/>
    <s v="Junior"/>
    <n v="565000"/>
    <n v="1"/>
    <n v="36"/>
    <s v="Active"/>
    <s v="M"/>
    <s v="&lt;25"/>
    <s v="Entry"/>
  </r>
  <r>
    <s v="EMP169"/>
    <x v="0"/>
    <x v="5"/>
    <x v="1"/>
    <x v="4"/>
    <s v="Junior"/>
    <n v="475000"/>
    <n v="1"/>
    <n v="25"/>
    <s v="Active"/>
    <s v="M"/>
    <s v="25-34"/>
    <s v="Entry"/>
  </r>
  <r>
    <s v="EMP170"/>
    <x v="0"/>
    <x v="29"/>
    <x v="2"/>
    <x v="4"/>
    <s v="Junior"/>
    <n v="690000"/>
    <n v="1"/>
    <n v="29"/>
    <s v="Active"/>
    <s v="M"/>
    <s v="25-34"/>
    <s v="Entry"/>
  </r>
  <r>
    <s v="EMP171"/>
    <x v="0"/>
    <x v="3"/>
    <x v="3"/>
    <x v="5"/>
    <s v="Entry"/>
    <n v="410000"/>
    <n v="0"/>
    <n v="27"/>
    <s v="Active"/>
    <s v="M"/>
    <s v="&lt;25"/>
    <s v="Entry"/>
  </r>
  <r>
    <s v="EMP172"/>
    <x v="1"/>
    <x v="17"/>
    <x v="1"/>
    <x v="1"/>
    <s v="Mid-Level"/>
    <n v="725000"/>
    <n v="1"/>
    <n v="33"/>
    <s v="Active"/>
    <s v="F"/>
    <s v="35-44"/>
    <s v="Mid"/>
  </r>
  <r>
    <s v="EMP173"/>
    <x v="1"/>
    <x v="1"/>
    <x v="3"/>
    <x v="5"/>
    <s v="Junior"/>
    <n v="675000"/>
    <n v="1"/>
    <n v="12"/>
    <s v="Exited"/>
    <s v="F"/>
    <s v="&lt;25"/>
    <s v="Entry"/>
  </r>
  <r>
    <s v="EMP174"/>
    <x v="0"/>
    <x v="5"/>
    <x v="3"/>
    <x v="2"/>
    <s v="Junior"/>
    <n v="425000"/>
    <n v="0"/>
    <n v="21"/>
    <s v="Active"/>
    <s v="M"/>
    <s v="25-34"/>
    <s v="Entry"/>
  </r>
  <r>
    <s v="EMP175"/>
    <x v="1"/>
    <x v="1"/>
    <x v="1"/>
    <x v="7"/>
    <s v="Junior"/>
    <n v="575000"/>
    <n v="0"/>
    <n v="21"/>
    <s v="Active"/>
    <s v="F"/>
    <s v="&lt;25"/>
    <s v="Entry"/>
  </r>
  <r>
    <s v="EMP176"/>
    <x v="1"/>
    <x v="31"/>
    <x v="2"/>
    <x v="4"/>
    <s v="Senior Manager"/>
    <n v="2460000"/>
    <n v="0"/>
    <n v="38"/>
    <s v="Active"/>
    <s v="F"/>
    <s v="55+"/>
    <s v="Leadership"/>
  </r>
  <r>
    <s v="EMP177"/>
    <x v="3"/>
    <x v="26"/>
    <x v="2"/>
    <x v="4"/>
    <s v="Junior"/>
    <n v="420000"/>
    <n v="0"/>
    <n v="19"/>
    <s v="Active"/>
    <s v="Undisclosed"/>
    <s v="25-34"/>
    <s v="Entry"/>
  </r>
  <r>
    <s v="EMP178"/>
    <x v="0"/>
    <x v="26"/>
    <x v="1"/>
    <x v="2"/>
    <s v="Entry"/>
    <n v="350000"/>
    <n v="0"/>
    <n v="9"/>
    <s v="Exited"/>
    <s v="M"/>
    <s v="25-34"/>
    <s v="Entry"/>
  </r>
  <r>
    <s v="EMP179"/>
    <x v="0"/>
    <x v="15"/>
    <x v="0"/>
    <x v="2"/>
    <s v="Mid-Level"/>
    <n v="990000"/>
    <n v="0"/>
    <n v="39"/>
    <s v="Active"/>
    <s v="M"/>
    <s v="25-34"/>
    <s v="Mid"/>
  </r>
  <r>
    <s v="EMP180"/>
    <x v="1"/>
    <x v="25"/>
    <x v="3"/>
    <x v="4"/>
    <s v="Manager"/>
    <n v="1580000"/>
    <n v="2"/>
    <n v="52"/>
    <s v="Active"/>
    <s v="F"/>
    <s v="45-54"/>
    <s v="Leadership"/>
  </r>
  <r>
    <s v="EMP181"/>
    <x v="1"/>
    <x v="1"/>
    <x v="1"/>
    <x v="7"/>
    <s v="Junior"/>
    <n v="570000"/>
    <n v="0"/>
    <n v="19"/>
    <s v="Active"/>
    <s v="F"/>
    <s v="&lt;25"/>
    <s v="Entry"/>
  </r>
  <r>
    <s v="EMP182"/>
    <x v="3"/>
    <x v="4"/>
    <x v="3"/>
    <x v="0"/>
    <s v="Junior"/>
    <n v="585000"/>
    <n v="0"/>
    <n v="23"/>
    <s v="Active"/>
    <s v="Undisclosed"/>
    <s v="&lt;25"/>
    <s v="Entry"/>
  </r>
  <r>
    <s v="EMP183"/>
    <x v="0"/>
    <x v="7"/>
    <x v="0"/>
    <x v="7"/>
    <s v="Senior"/>
    <n v="1280000"/>
    <n v="1"/>
    <n v="30"/>
    <s v="Exited"/>
    <s v="M"/>
    <s v="35-44"/>
    <s v="Senior"/>
  </r>
  <r>
    <s v="EMP184"/>
    <x v="2"/>
    <x v="28"/>
    <x v="1"/>
    <x v="3"/>
    <s v="Entry"/>
    <n v="360000"/>
    <n v="1"/>
    <n v="19"/>
    <s v="Active"/>
    <s v="Other"/>
    <s v="&lt;25"/>
    <s v="Entry"/>
  </r>
  <r>
    <s v="EMP185"/>
    <x v="1"/>
    <x v="17"/>
    <x v="2"/>
    <x v="4"/>
    <s v="Senior"/>
    <n v="1290000"/>
    <n v="1"/>
    <n v="24"/>
    <s v="Active"/>
    <s v="F"/>
    <s v="35-44"/>
    <s v="Senior"/>
  </r>
  <r>
    <s v="EMP186"/>
    <x v="1"/>
    <x v="1"/>
    <x v="1"/>
    <x v="4"/>
    <s v="Junior"/>
    <n v="415000"/>
    <n v="1"/>
    <n v="25"/>
    <s v="Active"/>
    <s v="F"/>
    <s v="&lt;25"/>
    <s v="Entry"/>
  </r>
  <r>
    <s v="EMP187"/>
    <x v="0"/>
    <x v="10"/>
    <x v="1"/>
    <x v="3"/>
    <s v="Senior"/>
    <n v="1200000"/>
    <n v="1"/>
    <n v="51"/>
    <s v="Active"/>
    <s v="M"/>
    <s v="25-34"/>
    <s v="Senior"/>
  </r>
  <r>
    <s v="EMP188"/>
    <x v="1"/>
    <x v="30"/>
    <x v="2"/>
    <x v="4"/>
    <s v="Manager"/>
    <n v="1390000"/>
    <n v="2"/>
    <n v="45"/>
    <s v="Active"/>
    <s v="F"/>
    <s v="45-54"/>
    <s v="Leadership"/>
  </r>
  <r>
    <s v="EMP189"/>
    <x v="0"/>
    <x v="8"/>
    <x v="1"/>
    <x v="3"/>
    <s v="Manager"/>
    <n v="1970000"/>
    <n v="0"/>
    <n v="48"/>
    <s v="Active"/>
    <s v="M"/>
    <s v="35-44"/>
    <s v="Leadership"/>
  </r>
  <r>
    <s v="EMP190"/>
    <x v="1"/>
    <x v="5"/>
    <x v="0"/>
    <x v="0"/>
    <s v="Junior"/>
    <n v="415000"/>
    <n v="0"/>
    <n v="28"/>
    <s v="Active"/>
    <s v="F"/>
    <s v="25-34"/>
    <s v="Entry"/>
  </r>
  <r>
    <s v="EMP191"/>
    <x v="0"/>
    <x v="1"/>
    <x v="0"/>
    <x v="3"/>
    <s v="Entry"/>
    <n v="490000"/>
    <n v="1"/>
    <n v="24"/>
    <s v="Active"/>
    <s v="M"/>
    <s v="&lt;25"/>
    <s v="Entry"/>
  </r>
  <r>
    <s v="EMP192"/>
    <x v="0"/>
    <x v="32"/>
    <x v="3"/>
    <x v="3"/>
    <s v="Senior Manager"/>
    <n v="1880000"/>
    <n v="1"/>
    <n v="73"/>
    <s v="Active"/>
    <s v="M"/>
    <s v="55+"/>
    <s v="Leadership"/>
  </r>
  <r>
    <s v="EMP193"/>
    <x v="1"/>
    <x v="15"/>
    <x v="2"/>
    <x v="3"/>
    <s v="Senior"/>
    <n v="1355000"/>
    <n v="1"/>
    <n v="23"/>
    <s v="Active"/>
    <s v="F"/>
    <s v="25-34"/>
    <s v="Senior"/>
  </r>
  <r>
    <s v="EMP194"/>
    <x v="1"/>
    <x v="26"/>
    <x v="1"/>
    <x v="4"/>
    <s v="Junior"/>
    <n v="580000"/>
    <n v="1"/>
    <n v="26"/>
    <s v="Exited"/>
    <s v="F"/>
    <s v="25-34"/>
    <s v="Entry"/>
  </r>
  <r>
    <s v="EMP195"/>
    <x v="1"/>
    <x v="4"/>
    <x v="0"/>
    <x v="3"/>
    <s v="Entry"/>
    <n v="460000"/>
    <n v="0"/>
    <n v="24"/>
    <s v="Active"/>
    <s v="F"/>
    <s v="&lt;25"/>
    <s v="Entry"/>
  </r>
  <r>
    <s v="EMP196"/>
    <x v="1"/>
    <x v="13"/>
    <x v="1"/>
    <x v="4"/>
    <s v="Senior"/>
    <n v="1255000"/>
    <n v="2"/>
    <n v="56"/>
    <s v="Active"/>
    <s v="F"/>
    <s v="35-44"/>
    <s v="Senior"/>
  </r>
  <r>
    <s v="EMP197"/>
    <x v="1"/>
    <x v="6"/>
    <x v="2"/>
    <x v="4"/>
    <s v="Senior"/>
    <n v="1500000"/>
    <n v="1"/>
    <n v="60"/>
    <s v="Active"/>
    <s v="F"/>
    <s v="35-44"/>
    <s v="Senior"/>
  </r>
  <r>
    <s v="EMP198"/>
    <x v="0"/>
    <x v="7"/>
    <x v="2"/>
    <x v="7"/>
    <s v="Mid-Level"/>
    <n v="815000"/>
    <n v="0"/>
    <n v="19"/>
    <s v="Active"/>
    <s v="M"/>
    <s v="35-44"/>
    <s v="Mid"/>
  </r>
  <r>
    <s v="EMP199"/>
    <x v="1"/>
    <x v="29"/>
    <x v="4"/>
    <x v="3"/>
    <s v="Junior"/>
    <n v="565000"/>
    <n v="1"/>
    <n v="20"/>
    <s v="Active"/>
    <s v="F"/>
    <s v="25-34"/>
    <s v="Entry"/>
  </r>
  <r>
    <s v="EMP200"/>
    <x v="0"/>
    <x v="11"/>
    <x v="1"/>
    <x v="0"/>
    <s v="Senior"/>
    <n v="1490000"/>
    <n v="0"/>
    <n v="35"/>
    <s v="Active"/>
    <s v="M"/>
    <s v="35-44"/>
    <s v="Seni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">
  <r>
    <s v="EMP001"/>
    <s v="Male"/>
    <n v="27"/>
    <s v="Category C"/>
    <x v="0"/>
    <s v="Mid-Level"/>
    <n v="990000"/>
    <n v="0"/>
    <n v="29"/>
    <s v="Active"/>
    <s v="M"/>
    <s v="25-34"/>
    <s v="Mid"/>
    <x v="0"/>
  </r>
  <r>
    <s v="EMP002"/>
    <s v="Male"/>
    <n v="27"/>
    <s v="Category A"/>
    <x v="1"/>
    <s v="Mid-Level"/>
    <n v="615000"/>
    <n v="0"/>
    <n v="29"/>
    <s v="Active"/>
    <s v="M"/>
    <s v="25-34"/>
    <s v="Mid"/>
    <x v="1"/>
  </r>
  <r>
    <s v="EMP003"/>
    <s v="Male"/>
    <n v="27"/>
    <s v="Category A"/>
    <x v="2"/>
    <s v="Junior"/>
    <n v="405000"/>
    <n v="1"/>
    <n v="15"/>
    <s v="Active"/>
    <s v="M"/>
    <s v="25-34"/>
    <s v="Entry"/>
    <x v="1"/>
  </r>
  <r>
    <s v="EMP004"/>
    <s v="Female"/>
    <n v="24"/>
    <s v="Category C"/>
    <x v="0"/>
    <s v="Entry"/>
    <n v="325000"/>
    <n v="0"/>
    <n v="19"/>
    <s v="Active"/>
    <s v="F"/>
    <s v="&lt;25"/>
    <s v="Entry"/>
    <x v="2"/>
  </r>
  <r>
    <s v="EMP005"/>
    <s v="Female"/>
    <n v="52"/>
    <s v="Category C"/>
    <x v="0"/>
    <s v="Senior Manager"/>
    <n v="1885000"/>
    <n v="1"/>
    <n v="70"/>
    <s v="Active"/>
    <s v="F"/>
    <s v="45-54"/>
    <s v="Leadership"/>
    <x v="2"/>
  </r>
  <r>
    <s v="EMP006"/>
    <s v="Male"/>
    <n v="22"/>
    <s v="Category B"/>
    <x v="2"/>
    <s v="Entry"/>
    <n v="375000"/>
    <n v="1"/>
    <n v="15"/>
    <s v="Exited"/>
    <s v="M"/>
    <s v="&lt;25"/>
    <s v="Entry"/>
    <x v="3"/>
  </r>
  <r>
    <s v="EMP007"/>
    <s v="Female"/>
    <n v="23"/>
    <s v="Category C"/>
    <x v="3"/>
    <s v="Entry"/>
    <n v="355000"/>
    <n v="1"/>
    <n v="30"/>
    <s v="Exited"/>
    <s v="F"/>
    <s v="&lt;25"/>
    <s v="Entry"/>
    <x v="2"/>
  </r>
  <r>
    <s v="EMP008"/>
    <s v="Female"/>
    <n v="30"/>
    <s v="Category C"/>
    <x v="2"/>
    <s v="Mid-Level"/>
    <n v="685000"/>
    <n v="0"/>
    <n v="32"/>
    <s v="Exited"/>
    <s v="F"/>
    <s v="25-34"/>
    <s v="Mid"/>
    <x v="2"/>
  </r>
  <r>
    <s v="EMP009"/>
    <s v="Male"/>
    <n v="43"/>
    <s v="Category A"/>
    <x v="2"/>
    <s v="Senior"/>
    <n v="960000"/>
    <n v="0"/>
    <n v="22"/>
    <s v="Active"/>
    <s v="M"/>
    <s v="35-44"/>
    <s v="Senior"/>
    <x v="1"/>
  </r>
  <r>
    <s v="EMP010"/>
    <s v="Male"/>
    <n v="30"/>
    <s v="Category A"/>
    <x v="4"/>
    <s v="Junior"/>
    <n v="605000"/>
    <n v="1"/>
    <n v="30"/>
    <s v="Active"/>
    <s v="M"/>
    <s v="25-34"/>
    <s v="Entry"/>
    <x v="1"/>
  </r>
  <r>
    <s v="EMP011"/>
    <s v="Male"/>
    <n v="37"/>
    <s v="Category A"/>
    <x v="0"/>
    <s v="Senior"/>
    <n v="1320000"/>
    <n v="0"/>
    <n v="28"/>
    <s v="Active"/>
    <s v="M"/>
    <s v="35-44"/>
    <s v="Senior"/>
    <x v="1"/>
  </r>
  <r>
    <s v="EMP012"/>
    <s v="Female"/>
    <n v="22"/>
    <s v="Category B"/>
    <x v="4"/>
    <s v="Entry"/>
    <n v="480000"/>
    <n v="0"/>
    <n v="10"/>
    <s v="Active"/>
    <s v="F"/>
    <s v="&lt;25"/>
    <s v="Entry"/>
    <x v="4"/>
  </r>
  <r>
    <s v="EMP013"/>
    <s v="Female"/>
    <n v="40"/>
    <s v="Category C"/>
    <x v="2"/>
    <s v="Senior Manager"/>
    <n v="2515000"/>
    <n v="2"/>
    <n v="73"/>
    <s v="Exited"/>
    <s v="F"/>
    <s v="35-44"/>
    <s v="Leadership"/>
    <x v="2"/>
  </r>
  <r>
    <s v="EMP014"/>
    <s v="Female"/>
    <n v="24"/>
    <s v="Category B"/>
    <x v="0"/>
    <s v="Entry"/>
    <n v="340000"/>
    <n v="0"/>
    <n v="16"/>
    <s v="Exited"/>
    <s v="F"/>
    <s v="&lt;25"/>
    <s v="Entry"/>
    <x v="4"/>
  </r>
  <r>
    <s v="EMP015"/>
    <s v="Female"/>
    <n v="44"/>
    <s v="Category B"/>
    <x v="5"/>
    <s v="Manager"/>
    <n v="1970000"/>
    <n v="1"/>
    <n v="37"/>
    <s v="Active"/>
    <s v="F"/>
    <s v="35-44"/>
    <s v="Leadership"/>
    <x v="4"/>
  </r>
  <r>
    <s v="EMP016"/>
    <s v="Female"/>
    <n v="34"/>
    <s v="Category B"/>
    <x v="5"/>
    <s v="Mid-Level"/>
    <n v="610000"/>
    <n v="0"/>
    <n v="38"/>
    <s v="Exited"/>
    <s v="F"/>
    <s v="25-34"/>
    <s v="Mid"/>
    <x v="4"/>
  </r>
  <r>
    <s v="EMP017"/>
    <s v="Female"/>
    <n v="24"/>
    <s v="Category C"/>
    <x v="3"/>
    <s v="Junior"/>
    <n v="445000"/>
    <n v="1"/>
    <n v="36"/>
    <s v="Active"/>
    <s v="F"/>
    <s v="&lt;25"/>
    <s v="Entry"/>
    <x v="2"/>
  </r>
  <r>
    <s v="EMP018"/>
    <s v="Male"/>
    <n v="39"/>
    <s v="Category B"/>
    <x v="6"/>
    <s v="Senior"/>
    <n v="1075000"/>
    <n v="0"/>
    <n v="58"/>
    <s v="Active"/>
    <s v="M"/>
    <s v="35-44"/>
    <s v="Senior"/>
    <x v="3"/>
  </r>
  <r>
    <s v="EMP019"/>
    <s v="Male"/>
    <n v="37"/>
    <s v="Category A"/>
    <x v="5"/>
    <s v="Senior"/>
    <n v="1290000"/>
    <n v="1"/>
    <n v="53"/>
    <s v="Active"/>
    <s v="M"/>
    <s v="35-44"/>
    <s v="Senior"/>
    <x v="1"/>
  </r>
  <r>
    <s v="EMP020"/>
    <s v="Male"/>
    <n v="30"/>
    <s v="Category A"/>
    <x v="5"/>
    <s v="Mid-Level"/>
    <n v="910000"/>
    <n v="0"/>
    <n v="19"/>
    <s v="Active"/>
    <s v="M"/>
    <s v="25-34"/>
    <s v="Mid"/>
    <x v="1"/>
  </r>
  <r>
    <s v="EMP021"/>
    <s v="Female"/>
    <n v="37"/>
    <s v="Category C"/>
    <x v="7"/>
    <s v="Manager"/>
    <n v="1840000"/>
    <n v="0"/>
    <n v="67"/>
    <s v="Active"/>
    <s v="F"/>
    <s v="35-44"/>
    <s v="Leadership"/>
    <x v="2"/>
  </r>
  <r>
    <s v="EMP022"/>
    <s v="Male"/>
    <n v="30"/>
    <s v="Category B"/>
    <x v="5"/>
    <s v="Junior"/>
    <n v="615000"/>
    <n v="0"/>
    <n v="13"/>
    <s v="Active"/>
    <s v="M"/>
    <s v="25-34"/>
    <s v="Entry"/>
    <x v="3"/>
  </r>
  <r>
    <s v="EMP023"/>
    <s v="Male"/>
    <n v="41"/>
    <s v="Category A"/>
    <x v="7"/>
    <s v="Senior"/>
    <n v="1005000"/>
    <n v="0"/>
    <n v="41"/>
    <s v="Active"/>
    <s v="M"/>
    <s v="35-44"/>
    <s v="Senior"/>
    <x v="1"/>
  </r>
  <r>
    <s v="EMP024"/>
    <s v="Female"/>
    <n v="22"/>
    <s v="Category C"/>
    <x v="5"/>
    <s v="Entry"/>
    <n v="375000"/>
    <n v="0"/>
    <n v="10"/>
    <s v="Active"/>
    <s v="F"/>
    <s v="&lt;25"/>
    <s v="Entry"/>
    <x v="2"/>
  </r>
  <r>
    <s v="EMP025"/>
    <s v="Female"/>
    <n v="39"/>
    <s v="Category A"/>
    <x v="1"/>
    <s v="Senior"/>
    <n v="915000"/>
    <n v="3"/>
    <n v="35"/>
    <s v="Active"/>
    <s v="F"/>
    <s v="35-44"/>
    <s v="Senior"/>
    <x v="5"/>
  </r>
  <r>
    <s v="EMP026"/>
    <s v="Female"/>
    <n v="40"/>
    <s v="Category B"/>
    <x v="1"/>
    <s v="Manager"/>
    <n v="1695000"/>
    <n v="0"/>
    <n v="49"/>
    <s v="Active"/>
    <s v="F"/>
    <s v="35-44"/>
    <s v="Leadership"/>
    <x v="4"/>
  </r>
  <r>
    <s v="EMP027"/>
    <s v="Male"/>
    <n v="42"/>
    <s v="Category D"/>
    <x v="5"/>
    <s v="Senior"/>
    <n v="1485000"/>
    <n v="1"/>
    <n v="51"/>
    <s v="Active"/>
    <s v="M"/>
    <s v="35-44"/>
    <s v="Senior"/>
    <x v="6"/>
  </r>
  <r>
    <s v="EMP028"/>
    <s v="Female"/>
    <n v="31"/>
    <s v="Category A"/>
    <x v="0"/>
    <s v="Senior"/>
    <n v="955000"/>
    <n v="1"/>
    <n v="52"/>
    <s v="Exited"/>
    <s v="F"/>
    <s v="25-34"/>
    <s v="Senior"/>
    <x v="5"/>
  </r>
  <r>
    <s v="EMP029"/>
    <s v="Non-Binary"/>
    <n v="37"/>
    <s v="Category C"/>
    <x v="5"/>
    <s v="Manager"/>
    <n v="1925000"/>
    <n v="0"/>
    <n v="40"/>
    <s v="Active"/>
    <s v="Other"/>
    <s v="35-44"/>
    <s v="Leadership"/>
    <x v="7"/>
  </r>
  <r>
    <s v="EMP030"/>
    <s v="Male"/>
    <n v="33"/>
    <s v="Category C"/>
    <x v="2"/>
    <s v="Mid-Level"/>
    <n v="945000"/>
    <n v="1"/>
    <n v="48"/>
    <s v="Active"/>
    <s v="M"/>
    <s v="25-34"/>
    <s v="Mid"/>
    <x v="0"/>
  </r>
  <r>
    <s v="EMP031"/>
    <s v="Female"/>
    <n v="29"/>
    <s v="Category D"/>
    <x v="5"/>
    <s v="Junior"/>
    <n v="470000"/>
    <n v="1"/>
    <n v="19"/>
    <s v="Active"/>
    <s v="F"/>
    <s v="25-34"/>
    <s v="Entry"/>
    <x v="8"/>
  </r>
  <r>
    <s v="EMP032"/>
    <s v="Male"/>
    <n v="36"/>
    <s v="Category B"/>
    <x v="0"/>
    <s v="Mid-Level"/>
    <n v="650000"/>
    <n v="0"/>
    <n v="28"/>
    <s v="Active"/>
    <s v="M"/>
    <s v="35-44"/>
    <s v="Mid"/>
    <x v="3"/>
  </r>
  <r>
    <s v="EMP033"/>
    <s v="Female"/>
    <n v="46"/>
    <s v="Prefer Not to Say"/>
    <x v="5"/>
    <s v="Manager"/>
    <n v="1600000"/>
    <n v="0"/>
    <n v="59"/>
    <s v="Active"/>
    <s v="F"/>
    <s v="45-54"/>
    <s v="Leadership"/>
    <x v="9"/>
  </r>
  <r>
    <s v="EMP034"/>
    <s v="Male"/>
    <n v="39"/>
    <s v="Category A"/>
    <x v="0"/>
    <s v="Senior"/>
    <n v="1215000"/>
    <n v="3"/>
    <n v="26"/>
    <s v="Exited"/>
    <s v="M"/>
    <s v="35-44"/>
    <s v="Senior"/>
    <x v="1"/>
  </r>
  <r>
    <s v="EMP035"/>
    <s v="Male"/>
    <n v="33"/>
    <s v="Category C"/>
    <x v="4"/>
    <s v="Senior"/>
    <n v="1185000"/>
    <n v="0"/>
    <n v="33"/>
    <s v="Active"/>
    <s v="M"/>
    <s v="25-34"/>
    <s v="Senior"/>
    <x v="0"/>
  </r>
  <r>
    <s v="EMP036"/>
    <s v="Male"/>
    <n v="31"/>
    <s v="Category B"/>
    <x v="3"/>
    <s v="Mid-Level"/>
    <n v="625000"/>
    <n v="0"/>
    <n v="42"/>
    <s v="Active"/>
    <s v="M"/>
    <s v="25-34"/>
    <s v="Mid"/>
    <x v="3"/>
  </r>
  <r>
    <s v="EMP037"/>
    <s v="Female"/>
    <n v="31"/>
    <s v="Category A"/>
    <x v="3"/>
    <s v="Mid-Level"/>
    <n v="685000"/>
    <n v="1"/>
    <n v="50"/>
    <s v="Active"/>
    <s v="F"/>
    <s v="25-34"/>
    <s v="Mid"/>
    <x v="5"/>
  </r>
  <r>
    <s v="EMP038"/>
    <s v="Male"/>
    <n v="32"/>
    <s v="Category D"/>
    <x v="5"/>
    <s v="Mid-Level"/>
    <n v="905000"/>
    <n v="1"/>
    <n v="42"/>
    <s v="Active"/>
    <s v="M"/>
    <s v="25-34"/>
    <s v="Mid"/>
    <x v="6"/>
  </r>
  <r>
    <s v="EMP039"/>
    <s v="Female"/>
    <n v="41"/>
    <s v="Category B"/>
    <x v="3"/>
    <s v="Manager"/>
    <n v="1560000"/>
    <n v="1"/>
    <n v="47"/>
    <s v="Active"/>
    <s v="F"/>
    <s v="35-44"/>
    <s v="Leadership"/>
    <x v="4"/>
  </r>
  <r>
    <s v="EMP040"/>
    <s v="Male"/>
    <n v="42"/>
    <s v="Category C"/>
    <x v="2"/>
    <s v="Manager"/>
    <n v="1470000"/>
    <n v="3"/>
    <n v="36"/>
    <s v="Exited"/>
    <s v="M"/>
    <s v="35-44"/>
    <s v="Leadership"/>
    <x v="0"/>
  </r>
  <r>
    <s v="EMP041"/>
    <s v="Male"/>
    <n v="37"/>
    <s v="Category B"/>
    <x v="6"/>
    <s v="Senior"/>
    <n v="1160000"/>
    <n v="0"/>
    <n v="26"/>
    <s v="Active"/>
    <s v="M"/>
    <s v="35-44"/>
    <s v="Senior"/>
    <x v="3"/>
  </r>
  <r>
    <s v="EMP042"/>
    <s v="Female"/>
    <n v="38"/>
    <s v="Category B"/>
    <x v="4"/>
    <s v="Senior"/>
    <n v="1265000"/>
    <n v="0"/>
    <n v="34"/>
    <s v="Active"/>
    <s v="F"/>
    <s v="35-44"/>
    <s v="Senior"/>
    <x v="4"/>
  </r>
  <r>
    <s v="EMP043"/>
    <s v="Female"/>
    <n v="43"/>
    <s v="Category B"/>
    <x v="5"/>
    <s v="Manager"/>
    <n v="1670000"/>
    <n v="1"/>
    <n v="50"/>
    <s v="Active"/>
    <s v="F"/>
    <s v="35-44"/>
    <s v="Leadership"/>
    <x v="4"/>
  </r>
  <r>
    <s v="EMP044"/>
    <s v="Female"/>
    <n v="23"/>
    <s v="Category B"/>
    <x v="2"/>
    <s v="Entry"/>
    <n v="345000"/>
    <n v="0"/>
    <n v="16"/>
    <s v="Active"/>
    <s v="F"/>
    <s v="&lt;25"/>
    <s v="Entry"/>
    <x v="4"/>
  </r>
  <r>
    <s v="EMP045"/>
    <s v="Female"/>
    <n v="35"/>
    <s v="Category A"/>
    <x v="6"/>
    <s v="Mid-Level"/>
    <n v="660000"/>
    <n v="0"/>
    <n v="27"/>
    <s v="Active"/>
    <s v="F"/>
    <s v="35-44"/>
    <s v="Mid"/>
    <x v="5"/>
  </r>
  <r>
    <s v="EMP046"/>
    <s v="Female"/>
    <n v="24"/>
    <s v="Category B"/>
    <x v="4"/>
    <s v="Junior"/>
    <n v="575000"/>
    <n v="0"/>
    <n v="31"/>
    <s v="Active"/>
    <s v="F"/>
    <s v="&lt;25"/>
    <s v="Entry"/>
    <x v="4"/>
  </r>
  <r>
    <s v="EMP047"/>
    <s v="Male"/>
    <n v="36"/>
    <s v="Category D"/>
    <x v="3"/>
    <s v="Senior"/>
    <n v="1320000"/>
    <n v="1"/>
    <n v="55"/>
    <s v="Active"/>
    <s v="M"/>
    <s v="35-44"/>
    <s v="Senior"/>
    <x v="6"/>
  </r>
  <r>
    <s v="EMP048"/>
    <s v="Male"/>
    <n v="31"/>
    <s v="Category D"/>
    <x v="2"/>
    <s v="Mid-Level"/>
    <n v="815000"/>
    <n v="1"/>
    <n v="15"/>
    <s v="Active"/>
    <s v="M"/>
    <s v="25-34"/>
    <s v="Mid"/>
    <x v="6"/>
  </r>
  <r>
    <s v="EMP049"/>
    <s v="Non-Binary"/>
    <n v="34"/>
    <s v="Category C"/>
    <x v="0"/>
    <s v="Mid-Level"/>
    <n v="955000"/>
    <n v="0"/>
    <n v="45"/>
    <s v="Active"/>
    <s v="Other"/>
    <s v="25-34"/>
    <s v="Mid"/>
    <x v="7"/>
  </r>
  <r>
    <s v="EMP050"/>
    <s v="Male"/>
    <n v="28"/>
    <s v="Category D"/>
    <x v="3"/>
    <s v="Junior"/>
    <n v="450000"/>
    <n v="1"/>
    <n v="34"/>
    <s v="Active"/>
    <s v="M"/>
    <s v="25-34"/>
    <s v="Entry"/>
    <x v="6"/>
  </r>
  <r>
    <s v="EMP051"/>
    <s v="Female"/>
    <n v="22"/>
    <s v="Category C"/>
    <x v="1"/>
    <s v="Entry"/>
    <n v="425000"/>
    <n v="0"/>
    <n v="10"/>
    <s v="Active"/>
    <s v="F"/>
    <s v="&lt;25"/>
    <s v="Entry"/>
    <x v="2"/>
  </r>
  <r>
    <s v="EMP052"/>
    <s v="Female"/>
    <n v="30"/>
    <s v="Category D"/>
    <x v="1"/>
    <s v="Mid-Level"/>
    <n v="675000"/>
    <n v="1"/>
    <n v="15"/>
    <s v="Exited"/>
    <s v="F"/>
    <s v="25-34"/>
    <s v="Mid"/>
    <x v="8"/>
  </r>
  <r>
    <s v="EMP053"/>
    <s v="Male"/>
    <n v="31"/>
    <s v="Category A"/>
    <x v="7"/>
    <s v="Junior"/>
    <n v="645000"/>
    <n v="0"/>
    <n v="17"/>
    <s v="Exited"/>
    <s v="M"/>
    <s v="25-34"/>
    <s v="Entry"/>
    <x v="1"/>
  </r>
  <r>
    <s v="EMP054"/>
    <s v="Female"/>
    <n v="39"/>
    <s v="Category B"/>
    <x v="7"/>
    <s v="Senior"/>
    <n v="1235000"/>
    <n v="3"/>
    <n v="48"/>
    <s v="Active"/>
    <s v="F"/>
    <s v="35-44"/>
    <s v="Senior"/>
    <x v="4"/>
  </r>
  <r>
    <s v="EMP055"/>
    <s v="Male"/>
    <n v="50"/>
    <s v="Category C"/>
    <x v="7"/>
    <s v="Manager"/>
    <n v="1770000"/>
    <n v="0"/>
    <n v="40"/>
    <s v="Active"/>
    <s v="M"/>
    <s v="45-54"/>
    <s v="Leadership"/>
    <x v="0"/>
  </r>
  <r>
    <s v="EMP056"/>
    <s v="Male"/>
    <n v="31"/>
    <s v="Category D"/>
    <x v="0"/>
    <s v="Mid-Level"/>
    <n v="830000"/>
    <n v="0"/>
    <n v="33"/>
    <s v="Active"/>
    <s v="M"/>
    <s v="25-34"/>
    <s v="Mid"/>
    <x v="6"/>
  </r>
  <r>
    <s v="EMP057"/>
    <s v="Male"/>
    <n v="22"/>
    <s v="Category B"/>
    <x v="7"/>
    <s v="Entry"/>
    <n v="400000"/>
    <n v="1"/>
    <n v="30"/>
    <s v="Active"/>
    <s v="M"/>
    <s v="&lt;25"/>
    <s v="Entry"/>
    <x v="3"/>
  </r>
  <r>
    <s v="EMP058"/>
    <s v="Female"/>
    <n v="30"/>
    <s v="Category B"/>
    <x v="5"/>
    <s v="Mid-Level"/>
    <n v="820000"/>
    <n v="0"/>
    <n v="16"/>
    <s v="Exited"/>
    <s v="F"/>
    <s v="25-34"/>
    <s v="Mid"/>
    <x v="4"/>
  </r>
  <r>
    <s v="EMP059"/>
    <s v="Female"/>
    <n v="44"/>
    <s v="Category D"/>
    <x v="6"/>
    <s v="Manager"/>
    <n v="1710000"/>
    <n v="2"/>
    <n v="51"/>
    <s v="Active"/>
    <s v="F"/>
    <s v="35-44"/>
    <s v="Leadership"/>
    <x v="8"/>
  </r>
  <r>
    <s v="EMP060"/>
    <s v="Female"/>
    <n v="31"/>
    <s v="Category B"/>
    <x v="3"/>
    <s v="Mid-Level"/>
    <n v="830000"/>
    <n v="0"/>
    <n v="39"/>
    <s v="Active"/>
    <s v="F"/>
    <s v="25-34"/>
    <s v="Mid"/>
    <x v="4"/>
  </r>
  <r>
    <s v="EMP061"/>
    <s v="Male"/>
    <n v="45"/>
    <s v="Category C"/>
    <x v="5"/>
    <s v="Senior"/>
    <n v="1035000"/>
    <n v="3"/>
    <n v="54"/>
    <s v="Active"/>
    <s v="M"/>
    <s v="45-54"/>
    <s v="Senior"/>
    <x v="0"/>
  </r>
  <r>
    <s v="EMP062"/>
    <s v="Male"/>
    <n v="24"/>
    <s v="Category A"/>
    <x v="2"/>
    <s v="Entry"/>
    <n v="335000"/>
    <n v="1"/>
    <n v="13"/>
    <s v="Active"/>
    <s v="M"/>
    <s v="&lt;25"/>
    <s v="Entry"/>
    <x v="1"/>
  </r>
  <r>
    <s v="EMP063"/>
    <s v="Female"/>
    <n v="29"/>
    <s v="Category B"/>
    <x v="5"/>
    <s v="Junior"/>
    <n v="545000"/>
    <n v="1"/>
    <n v="36"/>
    <s v="Active"/>
    <s v="F"/>
    <s v="25-34"/>
    <s v="Entry"/>
    <x v="4"/>
  </r>
  <r>
    <s v="EMP064"/>
    <s v="Male"/>
    <n v="51"/>
    <s v="Category A"/>
    <x v="6"/>
    <s v="Senior Manager"/>
    <n v="2035000"/>
    <n v="1"/>
    <n v="79"/>
    <s v="Exited"/>
    <s v="M"/>
    <s v="45-54"/>
    <s v="Leadership"/>
    <x v="1"/>
  </r>
  <r>
    <s v="EMP065"/>
    <s v="Female"/>
    <n v="23"/>
    <s v="Category A"/>
    <x v="4"/>
    <s v="Junior"/>
    <n v="480000"/>
    <n v="0"/>
    <n v="25"/>
    <s v="Active"/>
    <s v="F"/>
    <s v="&lt;25"/>
    <s v="Entry"/>
    <x v="5"/>
  </r>
  <r>
    <s v="EMP066"/>
    <s v="Male"/>
    <n v="33"/>
    <s v="Category A"/>
    <x v="4"/>
    <s v="Senior"/>
    <n v="1020000"/>
    <n v="2"/>
    <n v="30"/>
    <s v="Exited"/>
    <s v="M"/>
    <s v="25-34"/>
    <s v="Senior"/>
    <x v="1"/>
  </r>
  <r>
    <s v="EMP067"/>
    <s v="Female"/>
    <n v="33"/>
    <s v="Category C"/>
    <x v="0"/>
    <s v="Mid-Level"/>
    <n v="810000"/>
    <n v="2"/>
    <n v="27"/>
    <s v="Active"/>
    <s v="F"/>
    <s v="25-34"/>
    <s v="Mid"/>
    <x v="2"/>
  </r>
  <r>
    <s v="EMP068"/>
    <s v="Male"/>
    <n v="35"/>
    <s v="Category B"/>
    <x v="2"/>
    <s v="Senior"/>
    <n v="1025000"/>
    <n v="2"/>
    <n v="56"/>
    <s v="Active"/>
    <s v="M"/>
    <s v="35-44"/>
    <s v="Senior"/>
    <x v="3"/>
  </r>
  <r>
    <s v="EMP069"/>
    <s v="Male"/>
    <n v="26"/>
    <s v="Category D"/>
    <x v="7"/>
    <s v="Entry"/>
    <n v="390000"/>
    <n v="0"/>
    <n v="21"/>
    <s v="Active"/>
    <s v="M"/>
    <s v="25-34"/>
    <s v="Entry"/>
    <x v="6"/>
  </r>
  <r>
    <s v="EMP070"/>
    <s v="Female"/>
    <n v="37"/>
    <s v="Category C"/>
    <x v="7"/>
    <s v="Senior"/>
    <n v="1085000"/>
    <n v="2"/>
    <n v="37"/>
    <s v="Active"/>
    <s v="F"/>
    <s v="35-44"/>
    <s v="Senior"/>
    <x v="2"/>
  </r>
  <r>
    <s v="EMP071"/>
    <s v="Male"/>
    <n v="38"/>
    <s v="Category D"/>
    <x v="6"/>
    <s v="Mid-Level"/>
    <n v="910000"/>
    <n v="0"/>
    <n v="30"/>
    <s v="Active"/>
    <s v="M"/>
    <s v="35-44"/>
    <s v="Mid"/>
    <x v="6"/>
  </r>
  <r>
    <s v="EMP072"/>
    <s v="Male"/>
    <n v="40"/>
    <s v="Category A"/>
    <x v="4"/>
    <s v="Senior"/>
    <n v="1295000"/>
    <n v="0"/>
    <n v="51"/>
    <s v="Exited"/>
    <s v="M"/>
    <s v="35-44"/>
    <s v="Senior"/>
    <x v="1"/>
  </r>
  <r>
    <s v="EMP073"/>
    <s v="Male"/>
    <n v="27"/>
    <s v="Category B"/>
    <x v="6"/>
    <s v="Junior"/>
    <n v="690000"/>
    <n v="0"/>
    <n v="40"/>
    <s v="Active"/>
    <s v="M"/>
    <s v="25-34"/>
    <s v="Entry"/>
    <x v="3"/>
  </r>
  <r>
    <s v="EMP074"/>
    <s v="Male"/>
    <n v="41"/>
    <s v="Category C"/>
    <x v="4"/>
    <s v="Senior"/>
    <n v="1415000"/>
    <n v="1"/>
    <n v="21"/>
    <s v="Active"/>
    <s v="M"/>
    <s v="35-44"/>
    <s v="Senior"/>
    <x v="0"/>
  </r>
  <r>
    <s v="EMP075"/>
    <s v="Female"/>
    <n v="36"/>
    <s v="Category B"/>
    <x v="7"/>
    <s v="Senior"/>
    <n v="1395000"/>
    <n v="1"/>
    <n v="42"/>
    <s v="Active"/>
    <s v="F"/>
    <s v="35-44"/>
    <s v="Senior"/>
    <x v="4"/>
  </r>
  <r>
    <s v="EMP076"/>
    <s v="Female"/>
    <n v="27"/>
    <s v="Category D"/>
    <x v="3"/>
    <s v="Junior"/>
    <n v="520000"/>
    <n v="0"/>
    <n v="16"/>
    <s v="Active"/>
    <s v="F"/>
    <s v="25-34"/>
    <s v="Entry"/>
    <x v="8"/>
  </r>
  <r>
    <s v="EMP077"/>
    <s v="Male"/>
    <n v="30"/>
    <s v="Category A"/>
    <x v="6"/>
    <s v="Junior"/>
    <n v="545000"/>
    <n v="1"/>
    <n v="34"/>
    <s v="Active"/>
    <s v="M"/>
    <s v="25-34"/>
    <s v="Entry"/>
    <x v="1"/>
  </r>
  <r>
    <s v="EMP078"/>
    <s v="Male"/>
    <n v="28"/>
    <s v="Prefer Not to Say"/>
    <x v="4"/>
    <s v="Junior"/>
    <n v="495000"/>
    <n v="0"/>
    <n v="32"/>
    <s v="Active"/>
    <s v="M"/>
    <s v="25-34"/>
    <s v="Entry"/>
    <x v="10"/>
  </r>
  <r>
    <s v="EMP079"/>
    <s v="Male"/>
    <n v="33"/>
    <s v="Category B"/>
    <x v="3"/>
    <s v="Senior"/>
    <n v="1415000"/>
    <n v="0"/>
    <n v="20"/>
    <s v="Active"/>
    <s v="M"/>
    <s v="25-34"/>
    <s v="Senior"/>
    <x v="3"/>
  </r>
  <r>
    <s v="EMP080"/>
    <s v="Male"/>
    <n v="48"/>
    <s v="Category A"/>
    <x v="5"/>
    <s v="Senior Manager"/>
    <n v="2785000"/>
    <n v="2"/>
    <n v="37"/>
    <s v="Active"/>
    <s v="M"/>
    <s v="45-54"/>
    <s v="Leadership"/>
    <x v="1"/>
  </r>
  <r>
    <s v="EMP081"/>
    <s v="Male"/>
    <n v="27"/>
    <s v="Category C"/>
    <x v="6"/>
    <s v="Entry"/>
    <n v="450000"/>
    <n v="1"/>
    <n v="10"/>
    <s v="Exited"/>
    <s v="M"/>
    <s v="25-34"/>
    <s v="Entry"/>
    <x v="0"/>
  </r>
  <r>
    <s v="EMP082"/>
    <s v="Prefer Not to Say"/>
    <n v="37"/>
    <s v="Category B"/>
    <x v="5"/>
    <s v="Senior"/>
    <n v="1370000"/>
    <n v="3"/>
    <n v="39"/>
    <s v="Exited"/>
    <s v="Undisclosed"/>
    <s v="35-44"/>
    <s v="Senior"/>
    <x v="11"/>
  </r>
  <r>
    <s v="EMP083"/>
    <s v="Male"/>
    <n v="38"/>
    <s v="Category A"/>
    <x v="6"/>
    <s v="Mid-Level"/>
    <n v="650000"/>
    <n v="2"/>
    <n v="28"/>
    <s v="Active"/>
    <s v="M"/>
    <s v="35-44"/>
    <s v="Mid"/>
    <x v="1"/>
  </r>
  <r>
    <s v="EMP084"/>
    <s v="Male"/>
    <n v="21"/>
    <s v="Category A"/>
    <x v="4"/>
    <s v="Entry"/>
    <n v="340000"/>
    <n v="0"/>
    <n v="22"/>
    <s v="Active"/>
    <s v="M"/>
    <s v="&lt;25"/>
    <s v="Entry"/>
    <x v="1"/>
  </r>
  <r>
    <s v="EMP085"/>
    <s v="Female"/>
    <n v="42"/>
    <s v="Category C"/>
    <x v="6"/>
    <s v="Senior"/>
    <n v="1375000"/>
    <n v="0"/>
    <n v="34"/>
    <s v="Exited"/>
    <s v="F"/>
    <s v="35-44"/>
    <s v="Senior"/>
    <x v="2"/>
  </r>
  <r>
    <s v="EMP086"/>
    <s v="Male"/>
    <n v="35"/>
    <s v="Category A"/>
    <x v="4"/>
    <s v="Mid-Level"/>
    <n v="720000"/>
    <n v="1"/>
    <n v="32"/>
    <s v="Active"/>
    <s v="M"/>
    <s v="35-44"/>
    <s v="Mid"/>
    <x v="1"/>
  </r>
  <r>
    <s v="EMP087"/>
    <s v="Female"/>
    <n v="36"/>
    <s v="Category D"/>
    <x v="7"/>
    <s v="Mid-Level"/>
    <n v="750000"/>
    <n v="0"/>
    <n v="44"/>
    <s v="Active"/>
    <s v="F"/>
    <s v="35-44"/>
    <s v="Mid"/>
    <x v="8"/>
  </r>
  <r>
    <s v="EMP088"/>
    <s v="Male"/>
    <n v="36"/>
    <s v="Category A"/>
    <x v="5"/>
    <s v="Mid-Level"/>
    <n v="620000"/>
    <n v="2"/>
    <n v="35"/>
    <s v="Active"/>
    <s v="M"/>
    <s v="35-44"/>
    <s v="Mid"/>
    <x v="1"/>
  </r>
  <r>
    <s v="EMP089"/>
    <s v="Female"/>
    <n v="48"/>
    <s v="Category B"/>
    <x v="4"/>
    <s v="Senior Manager"/>
    <n v="2405000"/>
    <n v="0"/>
    <n v="78"/>
    <s v="Active"/>
    <s v="F"/>
    <s v="45-54"/>
    <s v="Leadership"/>
    <x v="4"/>
  </r>
  <r>
    <s v="EMP090"/>
    <s v="Male"/>
    <n v="29"/>
    <s v="Category C"/>
    <x v="3"/>
    <s v="Junior"/>
    <n v="660000"/>
    <n v="1"/>
    <n v="25"/>
    <s v="Active"/>
    <s v="M"/>
    <s v="25-34"/>
    <s v="Entry"/>
    <x v="0"/>
  </r>
  <r>
    <s v="EMP091"/>
    <s v="Female"/>
    <n v="30"/>
    <s v="Category B"/>
    <x v="2"/>
    <s v="Junior"/>
    <n v="550000"/>
    <n v="0"/>
    <n v="22"/>
    <s v="Active"/>
    <s v="F"/>
    <s v="25-34"/>
    <s v="Entry"/>
    <x v="4"/>
  </r>
  <r>
    <s v="EMP092"/>
    <s v="Female"/>
    <n v="24"/>
    <s v="Category B"/>
    <x v="1"/>
    <s v="Junior"/>
    <n v="610000"/>
    <n v="1"/>
    <n v="36"/>
    <s v="Exited"/>
    <s v="F"/>
    <s v="&lt;25"/>
    <s v="Entry"/>
    <x v="4"/>
  </r>
  <r>
    <s v="EMP093"/>
    <s v="Female"/>
    <n v="25"/>
    <s v="Category A"/>
    <x v="3"/>
    <s v="Entry"/>
    <n v="395000"/>
    <n v="0"/>
    <n v="23"/>
    <s v="Active"/>
    <s v="F"/>
    <s v="25-34"/>
    <s v="Entry"/>
    <x v="5"/>
  </r>
  <r>
    <s v="EMP094"/>
    <s v="Male"/>
    <n v="49"/>
    <s v="Category A"/>
    <x v="5"/>
    <s v="Manager"/>
    <n v="1810000"/>
    <n v="0"/>
    <n v="65"/>
    <s v="Active"/>
    <s v="M"/>
    <s v="45-54"/>
    <s v="Leadership"/>
    <x v="1"/>
  </r>
  <r>
    <s v="EMP095"/>
    <s v="Male"/>
    <n v="28"/>
    <s v="Category D"/>
    <x v="7"/>
    <s v="Mid-Level"/>
    <n v="720000"/>
    <n v="2"/>
    <n v="22"/>
    <s v="Active"/>
    <s v="M"/>
    <s v="25-34"/>
    <s v="Mid"/>
    <x v="6"/>
  </r>
  <r>
    <s v="EMP096"/>
    <s v="Prefer Not to Say"/>
    <n v="44"/>
    <s v="Category A"/>
    <x v="3"/>
    <s v="Manager"/>
    <n v="1835000"/>
    <n v="2"/>
    <n v="51"/>
    <s v="Active"/>
    <s v="Undisclosed"/>
    <s v="35-44"/>
    <s v="Leadership"/>
    <x v="12"/>
  </r>
  <r>
    <s v="EMP097"/>
    <s v="Female"/>
    <n v="31"/>
    <s v="Category B"/>
    <x v="4"/>
    <s v="Junior"/>
    <n v="470000"/>
    <n v="1"/>
    <n v="18"/>
    <s v="Active"/>
    <s v="F"/>
    <s v="25-34"/>
    <s v="Entry"/>
    <x v="4"/>
  </r>
  <r>
    <s v="EMP098"/>
    <s v="Female"/>
    <n v="35"/>
    <s v="Category A"/>
    <x v="7"/>
    <s v="Senior"/>
    <n v="1215000"/>
    <n v="2"/>
    <n v="57"/>
    <s v="Exited"/>
    <s v="F"/>
    <s v="35-44"/>
    <s v="Senior"/>
    <x v="5"/>
  </r>
  <r>
    <s v="EMP099"/>
    <s v="Male"/>
    <n v="31"/>
    <s v="Category C"/>
    <x v="1"/>
    <s v="Junior"/>
    <n v="685000"/>
    <n v="0"/>
    <n v="39"/>
    <s v="Active"/>
    <s v="M"/>
    <s v="25-34"/>
    <s v="Entry"/>
    <x v="0"/>
  </r>
  <r>
    <s v="EMP100"/>
    <s v="Female"/>
    <n v="29"/>
    <s v="Category B"/>
    <x v="3"/>
    <s v="Junior"/>
    <n v="425000"/>
    <n v="0"/>
    <n v="25"/>
    <s v="Active"/>
    <s v="F"/>
    <s v="25-34"/>
    <s v="Entry"/>
    <x v="4"/>
  </r>
  <r>
    <s v="EMP101"/>
    <s v="Female"/>
    <n v="27"/>
    <s v="Category B"/>
    <x v="7"/>
    <s v="Mid-Level"/>
    <n v="665000"/>
    <n v="1"/>
    <n v="36"/>
    <s v="Exited"/>
    <s v="F"/>
    <s v="25-34"/>
    <s v="Mid"/>
    <x v="4"/>
  </r>
  <r>
    <s v="EMP102"/>
    <s v="Female"/>
    <n v="22"/>
    <s v="Category A"/>
    <x v="1"/>
    <s v="Entry"/>
    <n v="405000"/>
    <n v="1"/>
    <n v="12"/>
    <s v="Active"/>
    <s v="F"/>
    <s v="&lt;25"/>
    <s v="Entry"/>
    <x v="5"/>
  </r>
  <r>
    <s v="EMP103"/>
    <s v="Female"/>
    <n v="32"/>
    <s v="Category D"/>
    <x v="7"/>
    <s v="Mid-Level"/>
    <n v="955000"/>
    <n v="2"/>
    <n v="39"/>
    <s v="Exited"/>
    <s v="F"/>
    <s v="25-34"/>
    <s v="Mid"/>
    <x v="8"/>
  </r>
  <r>
    <s v="EMP104"/>
    <s v="Male"/>
    <n v="36"/>
    <s v="Category A"/>
    <x v="0"/>
    <s v="Manager"/>
    <n v="1945000"/>
    <n v="0"/>
    <n v="65"/>
    <s v="Active"/>
    <s v="M"/>
    <s v="35-44"/>
    <s v="Leadership"/>
    <x v="1"/>
  </r>
  <r>
    <s v="EMP105"/>
    <s v="Female"/>
    <n v="28"/>
    <s v="Category D"/>
    <x v="5"/>
    <s v="Mid-Level"/>
    <n v="1000000"/>
    <n v="1"/>
    <n v="21"/>
    <s v="Active"/>
    <s v="F"/>
    <s v="25-34"/>
    <s v="Mid"/>
    <x v="8"/>
  </r>
  <r>
    <s v="EMP106"/>
    <s v="Female"/>
    <n v="23"/>
    <s v="Category C"/>
    <x v="3"/>
    <s v="Junior"/>
    <n v="555000"/>
    <n v="0"/>
    <n v="23"/>
    <s v="Active"/>
    <s v="F"/>
    <s v="&lt;25"/>
    <s v="Entry"/>
    <x v="2"/>
  </r>
  <r>
    <s v="EMP107"/>
    <s v="Female"/>
    <n v="21"/>
    <s v="Category C"/>
    <x v="6"/>
    <s v="Entry"/>
    <n v="460000"/>
    <n v="1"/>
    <n v="27"/>
    <s v="Active"/>
    <s v="F"/>
    <s v="&lt;25"/>
    <s v="Entry"/>
    <x v="2"/>
  </r>
  <r>
    <s v="EMP108"/>
    <s v="Male"/>
    <n v="31"/>
    <s v="Category B"/>
    <x v="3"/>
    <s v="Mid-Level"/>
    <n v="840000"/>
    <n v="0"/>
    <n v="15"/>
    <s v="Exited"/>
    <s v="M"/>
    <s v="25-34"/>
    <s v="Mid"/>
    <x v="3"/>
  </r>
  <r>
    <s v="EMP109"/>
    <s v="Male"/>
    <n v="23"/>
    <s v="Category B"/>
    <x v="1"/>
    <s v="Entry"/>
    <n v="455000"/>
    <n v="0"/>
    <n v="21"/>
    <s v="Active"/>
    <s v="M"/>
    <s v="&lt;25"/>
    <s v="Entry"/>
    <x v="3"/>
  </r>
  <r>
    <s v="EMP110"/>
    <s v="Prefer Not to Say"/>
    <n v="38"/>
    <s v="Category B"/>
    <x v="1"/>
    <s v="Manager"/>
    <n v="1550000"/>
    <n v="0"/>
    <n v="47"/>
    <s v="Active"/>
    <s v="Undisclosed"/>
    <s v="35-44"/>
    <s v="Leadership"/>
    <x v="11"/>
  </r>
  <r>
    <s v="EMP111"/>
    <s v="Female"/>
    <n v="23"/>
    <s v="Category C"/>
    <x v="2"/>
    <s v="Junior"/>
    <n v="660000"/>
    <n v="1"/>
    <n v="38"/>
    <s v="Active"/>
    <s v="F"/>
    <s v="&lt;25"/>
    <s v="Entry"/>
    <x v="2"/>
  </r>
  <r>
    <s v="EMP112"/>
    <s v="Female"/>
    <n v="26"/>
    <s v="Category A"/>
    <x v="0"/>
    <s v="Junior"/>
    <n v="530000"/>
    <n v="1"/>
    <n v="33"/>
    <s v="Active"/>
    <s v="F"/>
    <s v="25-34"/>
    <s v="Entry"/>
    <x v="5"/>
  </r>
  <r>
    <s v="EMP113"/>
    <s v="Female"/>
    <n v="36"/>
    <s v="Category A"/>
    <x v="4"/>
    <s v="Manager"/>
    <n v="1625000"/>
    <n v="2"/>
    <n v="27"/>
    <s v="Active"/>
    <s v="F"/>
    <s v="35-44"/>
    <s v="Leadership"/>
    <x v="5"/>
  </r>
  <r>
    <s v="EMP114"/>
    <s v="Prefer Not to Say"/>
    <n v="29"/>
    <s v="Category B"/>
    <x v="4"/>
    <s v="Junior"/>
    <n v="490000"/>
    <n v="0"/>
    <n v="35"/>
    <s v="Active"/>
    <s v="Undisclosed"/>
    <s v="25-34"/>
    <s v="Entry"/>
    <x v="11"/>
  </r>
  <r>
    <s v="EMP115"/>
    <s v="Male"/>
    <n v="35"/>
    <s v="Category A"/>
    <x v="0"/>
    <s v="Senior"/>
    <n v="1405000"/>
    <n v="3"/>
    <n v="38"/>
    <s v="Active"/>
    <s v="M"/>
    <s v="35-44"/>
    <s v="Senior"/>
    <x v="1"/>
  </r>
  <r>
    <s v="EMP116"/>
    <s v="Female"/>
    <n v="22"/>
    <s v="Category B"/>
    <x v="1"/>
    <s v="Entry"/>
    <n v="475000"/>
    <n v="1"/>
    <n v="20"/>
    <s v="Exited"/>
    <s v="F"/>
    <s v="&lt;25"/>
    <s v="Entry"/>
    <x v="4"/>
  </r>
  <r>
    <s v="EMP117"/>
    <s v="Male"/>
    <n v="25"/>
    <s v="Category B"/>
    <x v="2"/>
    <s v="Entry"/>
    <n v="330000"/>
    <n v="0"/>
    <n v="29"/>
    <s v="Active"/>
    <s v="M"/>
    <s v="25-34"/>
    <s v="Entry"/>
    <x v="3"/>
  </r>
  <r>
    <s v="EMP118"/>
    <s v="Female"/>
    <n v="22"/>
    <s v="Category C"/>
    <x v="7"/>
    <s v="Entry"/>
    <n v="425000"/>
    <n v="0"/>
    <n v="25"/>
    <s v="Active"/>
    <s v="F"/>
    <s v="&lt;25"/>
    <s v="Entry"/>
    <x v="2"/>
  </r>
  <r>
    <s v="EMP119"/>
    <s v="Male"/>
    <n v="44"/>
    <s v="Prefer Not to Say"/>
    <x v="0"/>
    <s v="Manager"/>
    <n v="1980000"/>
    <n v="1"/>
    <n v="33"/>
    <s v="Active"/>
    <s v="M"/>
    <s v="35-44"/>
    <s v="Leadership"/>
    <x v="10"/>
  </r>
  <r>
    <s v="EMP120"/>
    <s v="Female"/>
    <n v="25"/>
    <s v="Category D"/>
    <x v="1"/>
    <s v="Entry"/>
    <n v="335000"/>
    <n v="0"/>
    <n v="19"/>
    <s v="Active"/>
    <s v="F"/>
    <s v="25-34"/>
    <s v="Entry"/>
    <x v="8"/>
  </r>
  <r>
    <s v="EMP121"/>
    <s v="Female"/>
    <n v="38"/>
    <s v="Category D"/>
    <x v="4"/>
    <s v="Mid-Level"/>
    <n v="680000"/>
    <n v="2"/>
    <n v="21"/>
    <s v="Active"/>
    <s v="F"/>
    <s v="35-44"/>
    <s v="Mid"/>
    <x v="8"/>
  </r>
  <r>
    <s v="EMP122"/>
    <s v="Male"/>
    <n v="23"/>
    <s v="Category C"/>
    <x v="2"/>
    <s v="Entry"/>
    <n v="355000"/>
    <n v="0"/>
    <n v="15"/>
    <s v="Exited"/>
    <s v="M"/>
    <s v="&lt;25"/>
    <s v="Entry"/>
    <x v="0"/>
  </r>
  <r>
    <s v="EMP123"/>
    <s v="Male"/>
    <n v="23"/>
    <s v="Category C"/>
    <x v="5"/>
    <s v="Entry"/>
    <n v="350000"/>
    <n v="1"/>
    <n v="22"/>
    <s v="Active"/>
    <s v="M"/>
    <s v="&lt;25"/>
    <s v="Entry"/>
    <x v="0"/>
  </r>
  <r>
    <s v="EMP124"/>
    <s v="Female"/>
    <n v="23"/>
    <s v="Category C"/>
    <x v="6"/>
    <s v="Entry"/>
    <n v="365000"/>
    <n v="1"/>
    <n v="26"/>
    <s v="Active"/>
    <s v="F"/>
    <s v="&lt;25"/>
    <s v="Entry"/>
    <x v="2"/>
  </r>
  <r>
    <s v="EMP125"/>
    <s v="Female"/>
    <n v="34"/>
    <s v="Category A"/>
    <x v="3"/>
    <s v="Senior"/>
    <n v="1245000"/>
    <n v="2"/>
    <n v="58"/>
    <s v="Active"/>
    <s v="F"/>
    <s v="25-34"/>
    <s v="Senior"/>
    <x v="5"/>
  </r>
  <r>
    <s v="EMP126"/>
    <s v="Male"/>
    <n v="29"/>
    <s v="Category D"/>
    <x v="2"/>
    <s v="Mid-Level"/>
    <n v="660000"/>
    <n v="1"/>
    <n v="16"/>
    <s v="Active"/>
    <s v="M"/>
    <s v="25-34"/>
    <s v="Mid"/>
    <x v="6"/>
  </r>
  <r>
    <s v="EMP127"/>
    <s v="Female"/>
    <n v="23"/>
    <s v="Category B"/>
    <x v="2"/>
    <s v="Entry"/>
    <n v="315000"/>
    <n v="0"/>
    <n v="21"/>
    <s v="Active"/>
    <s v="F"/>
    <s v="&lt;25"/>
    <s v="Entry"/>
    <x v="4"/>
  </r>
  <r>
    <s v="EMP128"/>
    <s v="Female"/>
    <n v="28"/>
    <s v="Category C"/>
    <x v="4"/>
    <s v="Mid-Level"/>
    <n v="835000"/>
    <n v="1"/>
    <n v="17"/>
    <s v="Active"/>
    <s v="F"/>
    <s v="25-34"/>
    <s v="Mid"/>
    <x v="2"/>
  </r>
  <r>
    <s v="EMP129"/>
    <s v="Male"/>
    <n v="27"/>
    <s v="Category C"/>
    <x v="7"/>
    <s v="Mid-Level"/>
    <n v="630000"/>
    <n v="2"/>
    <n v="40"/>
    <s v="Active"/>
    <s v="M"/>
    <s v="25-34"/>
    <s v="Mid"/>
    <x v="0"/>
  </r>
  <r>
    <s v="EMP130"/>
    <s v="Female"/>
    <n v="21"/>
    <s v="Category C"/>
    <x v="2"/>
    <s v="Entry"/>
    <n v="385000"/>
    <n v="0"/>
    <n v="10"/>
    <s v="Active"/>
    <s v="F"/>
    <s v="&lt;25"/>
    <s v="Entry"/>
    <x v="2"/>
  </r>
  <r>
    <s v="EMP131"/>
    <s v="Female"/>
    <n v="31"/>
    <s v="Category A"/>
    <x v="6"/>
    <s v="Junior"/>
    <n v="555000"/>
    <n v="0"/>
    <n v="29"/>
    <s v="Active"/>
    <s v="F"/>
    <s v="25-34"/>
    <s v="Entry"/>
    <x v="5"/>
  </r>
  <r>
    <s v="EMP132"/>
    <s v="Female"/>
    <n v="30"/>
    <s v="Category B"/>
    <x v="2"/>
    <s v="Mid-Level"/>
    <n v="815000"/>
    <n v="0"/>
    <n v="44"/>
    <s v="Active"/>
    <s v="F"/>
    <s v="25-34"/>
    <s v="Mid"/>
    <x v="4"/>
  </r>
  <r>
    <s v="EMP133"/>
    <s v="Female"/>
    <n v="36"/>
    <s v="Category A"/>
    <x v="0"/>
    <s v="Senior"/>
    <n v="1060000"/>
    <n v="1"/>
    <n v="50"/>
    <s v="Active"/>
    <s v="F"/>
    <s v="35-44"/>
    <s v="Senior"/>
    <x v="5"/>
  </r>
  <r>
    <s v="EMP134"/>
    <s v="Female"/>
    <n v="36"/>
    <s v="Category C"/>
    <x v="1"/>
    <s v="Senior"/>
    <n v="1035000"/>
    <n v="1"/>
    <n v="57"/>
    <s v="Exited"/>
    <s v="F"/>
    <s v="35-44"/>
    <s v="Senior"/>
    <x v="2"/>
  </r>
  <r>
    <s v="EMP135"/>
    <s v="Male"/>
    <n v="29"/>
    <s v="Category B"/>
    <x v="3"/>
    <s v="Junior"/>
    <n v="425000"/>
    <n v="1"/>
    <n v="29"/>
    <s v="Active"/>
    <s v="M"/>
    <s v="25-34"/>
    <s v="Entry"/>
    <x v="3"/>
  </r>
  <r>
    <s v="EMP136"/>
    <s v="Female"/>
    <n v="34"/>
    <s v="Category C"/>
    <x v="1"/>
    <s v="Senior"/>
    <n v="1015000"/>
    <n v="0"/>
    <n v="55"/>
    <s v="Active"/>
    <s v="F"/>
    <s v="25-34"/>
    <s v="Senior"/>
    <x v="2"/>
  </r>
  <r>
    <s v="EMP137"/>
    <s v="Male"/>
    <n v="43"/>
    <s v="Category C"/>
    <x v="2"/>
    <s v="Senior"/>
    <n v="1485000"/>
    <n v="0"/>
    <n v="37"/>
    <s v="Active"/>
    <s v="M"/>
    <s v="35-44"/>
    <s v="Senior"/>
    <x v="0"/>
  </r>
  <r>
    <s v="EMP138"/>
    <s v="Female"/>
    <n v="25"/>
    <s v="Prefer Not to Say"/>
    <x v="0"/>
    <s v="Junior"/>
    <n v="475000"/>
    <n v="0"/>
    <n v="22"/>
    <s v="Active"/>
    <s v="F"/>
    <s v="25-34"/>
    <s v="Entry"/>
    <x v="9"/>
  </r>
  <r>
    <s v="EMP139"/>
    <s v="Male"/>
    <n v="34"/>
    <s v="Category B"/>
    <x v="0"/>
    <s v="Senior"/>
    <n v="1295000"/>
    <n v="1"/>
    <n v="41"/>
    <s v="Active"/>
    <s v="M"/>
    <s v="25-34"/>
    <s v="Senior"/>
    <x v="3"/>
  </r>
  <r>
    <s v="EMP140"/>
    <s v="Male"/>
    <n v="39"/>
    <s v="Category C"/>
    <x v="7"/>
    <s v="Manager"/>
    <n v="1465000"/>
    <n v="2"/>
    <n v="28"/>
    <s v="Active"/>
    <s v="M"/>
    <s v="35-44"/>
    <s v="Leadership"/>
    <x v="0"/>
  </r>
  <r>
    <s v="EMP141"/>
    <s v="Male"/>
    <n v="33"/>
    <s v="Category B"/>
    <x v="7"/>
    <s v="Mid-Level"/>
    <n v="745000"/>
    <n v="0"/>
    <n v="47"/>
    <s v="Active"/>
    <s v="M"/>
    <s v="25-34"/>
    <s v="Mid"/>
    <x v="3"/>
  </r>
  <r>
    <s v="EMP142"/>
    <s v="Male"/>
    <n v="31"/>
    <s v="Category A"/>
    <x v="3"/>
    <s v="Mid-Level"/>
    <n v="625000"/>
    <n v="0"/>
    <n v="18"/>
    <s v="Active"/>
    <s v="M"/>
    <s v="25-34"/>
    <s v="Mid"/>
    <x v="1"/>
  </r>
  <r>
    <s v="EMP143"/>
    <s v="Male"/>
    <n v="35"/>
    <s v="Category B"/>
    <x v="6"/>
    <s v="Senior"/>
    <n v="1245000"/>
    <n v="0"/>
    <n v="51"/>
    <s v="Active"/>
    <s v="M"/>
    <s v="35-44"/>
    <s v="Senior"/>
    <x v="3"/>
  </r>
  <r>
    <s v="EMP144"/>
    <s v="Male"/>
    <n v="37"/>
    <s v="Category A"/>
    <x v="2"/>
    <s v="Mid-Level"/>
    <n v="785000"/>
    <n v="0"/>
    <n v="17"/>
    <s v="Active"/>
    <s v="M"/>
    <s v="35-44"/>
    <s v="Mid"/>
    <x v="1"/>
  </r>
  <r>
    <s v="EMP145"/>
    <s v="Male"/>
    <n v="36"/>
    <s v="Category D"/>
    <x v="3"/>
    <s v="Mid-Level"/>
    <n v="810000"/>
    <n v="1"/>
    <n v="41"/>
    <s v="Active"/>
    <s v="M"/>
    <s v="35-44"/>
    <s v="Mid"/>
    <x v="6"/>
  </r>
  <r>
    <s v="EMP146"/>
    <s v="Female"/>
    <n v="40"/>
    <s v="Category A"/>
    <x v="1"/>
    <s v="Senior"/>
    <n v="1380000"/>
    <n v="2"/>
    <n v="43"/>
    <s v="Active"/>
    <s v="F"/>
    <s v="35-44"/>
    <s v="Senior"/>
    <x v="5"/>
  </r>
  <r>
    <s v="EMP147"/>
    <s v="Male"/>
    <n v="33"/>
    <s v="Category B"/>
    <x v="0"/>
    <s v="Mid-Level"/>
    <n v="765000"/>
    <n v="1"/>
    <n v="29"/>
    <s v="Active"/>
    <s v="M"/>
    <s v="25-34"/>
    <s v="Mid"/>
    <x v="3"/>
  </r>
  <r>
    <s v="EMP148"/>
    <s v="Male"/>
    <n v="30"/>
    <s v="Category A"/>
    <x v="3"/>
    <s v="Mid-Level"/>
    <n v="785000"/>
    <n v="0"/>
    <n v="24"/>
    <s v="Active"/>
    <s v="M"/>
    <s v="25-34"/>
    <s v="Mid"/>
    <x v="1"/>
  </r>
  <r>
    <s v="EMP149"/>
    <s v="Female"/>
    <n v="41"/>
    <s v="Category C"/>
    <x v="7"/>
    <s v="Senior"/>
    <n v="980000"/>
    <n v="0"/>
    <n v="60"/>
    <s v="Active"/>
    <s v="F"/>
    <s v="35-44"/>
    <s v="Senior"/>
    <x v="2"/>
  </r>
  <r>
    <s v="EMP150"/>
    <s v="Prefer Not to Say"/>
    <n v="45"/>
    <s v="Category B"/>
    <x v="7"/>
    <s v="Senior"/>
    <n v="1490000"/>
    <n v="1"/>
    <n v="59"/>
    <s v="Active"/>
    <s v="Undisclosed"/>
    <s v="45-54"/>
    <s v="Senior"/>
    <x v="11"/>
  </r>
  <r>
    <s v="EMP151"/>
    <s v="Male"/>
    <n v="24"/>
    <s v="Category A"/>
    <x v="7"/>
    <s v="Entry"/>
    <n v="465000"/>
    <n v="0"/>
    <n v="16"/>
    <s v="Active"/>
    <s v="M"/>
    <s v="&lt;25"/>
    <s v="Entry"/>
    <x v="1"/>
  </r>
  <r>
    <s v="EMP152"/>
    <s v="Prefer Not to Say"/>
    <n v="27"/>
    <s v="Category A"/>
    <x v="1"/>
    <s v="Mid-Level"/>
    <n v="795000"/>
    <n v="1"/>
    <n v="19"/>
    <s v="Active"/>
    <s v="Undisclosed"/>
    <s v="25-34"/>
    <s v="Mid"/>
    <x v="12"/>
  </r>
  <r>
    <s v="EMP153"/>
    <s v="Female"/>
    <n v="35"/>
    <s v="Category A"/>
    <x v="7"/>
    <s v="Mid-Level"/>
    <n v="985000"/>
    <n v="2"/>
    <n v="43"/>
    <s v="Exited"/>
    <s v="F"/>
    <s v="35-44"/>
    <s v="Mid"/>
    <x v="5"/>
  </r>
  <r>
    <s v="EMP154"/>
    <s v="Male"/>
    <n v="27"/>
    <s v="Category C"/>
    <x v="5"/>
    <s v="Mid-Level"/>
    <n v="835000"/>
    <n v="0"/>
    <n v="36"/>
    <s v="Exited"/>
    <s v="M"/>
    <s v="25-34"/>
    <s v="Mid"/>
    <x v="0"/>
  </r>
  <r>
    <s v="EMP155"/>
    <s v="Male"/>
    <n v="30"/>
    <s v="Category B"/>
    <x v="1"/>
    <s v="Junior"/>
    <n v="630000"/>
    <n v="0"/>
    <n v="29"/>
    <s v="Active"/>
    <s v="M"/>
    <s v="25-34"/>
    <s v="Entry"/>
    <x v="3"/>
  </r>
  <r>
    <s v="EMP156"/>
    <s v="Male"/>
    <n v="41"/>
    <s v="Category C"/>
    <x v="4"/>
    <s v="Senior"/>
    <n v="955000"/>
    <n v="2"/>
    <n v="41"/>
    <s v="Active"/>
    <s v="M"/>
    <s v="35-44"/>
    <s v="Senior"/>
    <x v="0"/>
  </r>
  <r>
    <s v="EMP157"/>
    <s v="Male"/>
    <n v="25"/>
    <s v="Category D"/>
    <x v="1"/>
    <s v="Junior"/>
    <n v="575000"/>
    <n v="0"/>
    <n v="31"/>
    <s v="Active"/>
    <s v="M"/>
    <s v="25-34"/>
    <s v="Entry"/>
    <x v="6"/>
  </r>
  <r>
    <s v="EMP158"/>
    <s v="Male"/>
    <n v="26"/>
    <s v="Category A"/>
    <x v="0"/>
    <s v="Entry"/>
    <n v="320000"/>
    <n v="0"/>
    <n v="20"/>
    <s v="Active"/>
    <s v="M"/>
    <s v="25-34"/>
    <s v="Entry"/>
    <x v="1"/>
  </r>
  <r>
    <s v="EMP159"/>
    <s v="Non-Binary"/>
    <n v="33"/>
    <s v="Category B"/>
    <x v="7"/>
    <s v="Mid-Level"/>
    <n v="865000"/>
    <n v="0"/>
    <n v="38"/>
    <s v="Active"/>
    <s v="Other"/>
    <s v="25-34"/>
    <s v="Mid"/>
    <x v="13"/>
  </r>
  <r>
    <s v="EMP160"/>
    <s v="Female"/>
    <n v="25"/>
    <s v="Category B"/>
    <x v="5"/>
    <s v="Junior"/>
    <n v="480000"/>
    <n v="0"/>
    <n v="37"/>
    <s v="Active"/>
    <s v="F"/>
    <s v="25-34"/>
    <s v="Entry"/>
    <x v="4"/>
  </r>
  <r>
    <s v="EMP161"/>
    <s v="Female"/>
    <n v="45"/>
    <s v="Category C"/>
    <x v="3"/>
    <s v="Senior"/>
    <n v="1035000"/>
    <n v="1"/>
    <n v="29"/>
    <s v="Active"/>
    <s v="F"/>
    <s v="45-54"/>
    <s v="Senior"/>
    <x v="2"/>
  </r>
  <r>
    <s v="EMP162"/>
    <s v="Female"/>
    <n v="31"/>
    <s v="Category C"/>
    <x v="7"/>
    <s v="Senior"/>
    <n v="1330000"/>
    <n v="0"/>
    <n v="35"/>
    <s v="Exited"/>
    <s v="F"/>
    <s v="25-34"/>
    <s v="Senior"/>
    <x v="2"/>
  </r>
  <r>
    <s v="EMP163"/>
    <s v="Female"/>
    <n v="26"/>
    <s v="Category B"/>
    <x v="7"/>
    <s v="Junior"/>
    <n v="560000"/>
    <n v="1"/>
    <n v="35"/>
    <s v="Active"/>
    <s v="F"/>
    <s v="25-34"/>
    <s v="Entry"/>
    <x v="4"/>
  </r>
  <r>
    <s v="EMP164"/>
    <s v="Female"/>
    <n v="31"/>
    <s v="Category D"/>
    <x v="3"/>
    <s v="Mid-Level"/>
    <n v="800000"/>
    <n v="1"/>
    <n v="41"/>
    <s v="Exited"/>
    <s v="F"/>
    <s v="25-34"/>
    <s v="Mid"/>
    <x v="8"/>
  </r>
  <r>
    <s v="EMP165"/>
    <s v="Male"/>
    <n v="36"/>
    <s v="Category D"/>
    <x v="0"/>
    <s v="Manager"/>
    <n v="1970000"/>
    <n v="1"/>
    <n v="48"/>
    <s v="Active"/>
    <s v="M"/>
    <s v="35-44"/>
    <s v="Leadership"/>
    <x v="6"/>
  </r>
  <r>
    <s v="EMP166"/>
    <s v="Male"/>
    <n v="25"/>
    <s v="Category D"/>
    <x v="6"/>
    <s v="Junior"/>
    <n v="545000"/>
    <n v="0"/>
    <n v="26"/>
    <s v="Active"/>
    <s v="M"/>
    <s v="25-34"/>
    <s v="Entry"/>
    <x v="6"/>
  </r>
  <r>
    <s v="EMP167"/>
    <s v="Female"/>
    <n v="45"/>
    <s v="Category A"/>
    <x v="0"/>
    <s v="Senior"/>
    <n v="1265000"/>
    <n v="3"/>
    <n v="46"/>
    <s v="Active"/>
    <s v="F"/>
    <s v="45-54"/>
    <s v="Senior"/>
    <x v="5"/>
  </r>
  <r>
    <s v="EMP168"/>
    <s v="Male"/>
    <n v="23"/>
    <s v="Category A"/>
    <x v="5"/>
    <s v="Junior"/>
    <n v="565000"/>
    <n v="1"/>
    <n v="36"/>
    <s v="Active"/>
    <s v="M"/>
    <s v="&lt;25"/>
    <s v="Entry"/>
    <x v="1"/>
  </r>
  <r>
    <s v="EMP169"/>
    <s v="Male"/>
    <n v="30"/>
    <s v="Category A"/>
    <x v="4"/>
    <s v="Junior"/>
    <n v="475000"/>
    <n v="1"/>
    <n v="25"/>
    <s v="Active"/>
    <s v="M"/>
    <s v="25-34"/>
    <s v="Entry"/>
    <x v="1"/>
  </r>
  <r>
    <s v="EMP170"/>
    <s v="Male"/>
    <n v="25"/>
    <s v="Category B"/>
    <x v="4"/>
    <s v="Junior"/>
    <n v="690000"/>
    <n v="1"/>
    <n v="29"/>
    <s v="Active"/>
    <s v="M"/>
    <s v="25-34"/>
    <s v="Entry"/>
    <x v="3"/>
  </r>
  <r>
    <s v="EMP171"/>
    <s v="Male"/>
    <n v="22"/>
    <s v="Category D"/>
    <x v="5"/>
    <s v="Entry"/>
    <n v="410000"/>
    <n v="0"/>
    <n v="27"/>
    <s v="Active"/>
    <s v="M"/>
    <s v="&lt;25"/>
    <s v="Entry"/>
    <x v="6"/>
  </r>
  <r>
    <s v="EMP172"/>
    <s v="Female"/>
    <n v="36"/>
    <s v="Category A"/>
    <x v="1"/>
    <s v="Mid-Level"/>
    <n v="725000"/>
    <n v="1"/>
    <n v="33"/>
    <s v="Active"/>
    <s v="F"/>
    <s v="35-44"/>
    <s v="Mid"/>
    <x v="5"/>
  </r>
  <r>
    <s v="EMP173"/>
    <s v="Female"/>
    <n v="24"/>
    <s v="Category D"/>
    <x v="5"/>
    <s v="Junior"/>
    <n v="675000"/>
    <n v="1"/>
    <n v="12"/>
    <s v="Exited"/>
    <s v="F"/>
    <s v="&lt;25"/>
    <s v="Entry"/>
    <x v="8"/>
  </r>
  <r>
    <s v="EMP174"/>
    <s v="Male"/>
    <n v="30"/>
    <s v="Category D"/>
    <x v="2"/>
    <s v="Junior"/>
    <n v="425000"/>
    <n v="0"/>
    <n v="21"/>
    <s v="Active"/>
    <s v="M"/>
    <s v="25-34"/>
    <s v="Entry"/>
    <x v="6"/>
  </r>
  <r>
    <s v="EMP175"/>
    <s v="Female"/>
    <n v="24"/>
    <s v="Category A"/>
    <x v="7"/>
    <s v="Junior"/>
    <n v="575000"/>
    <n v="0"/>
    <n v="21"/>
    <s v="Active"/>
    <s v="F"/>
    <s v="&lt;25"/>
    <s v="Entry"/>
    <x v="5"/>
  </r>
  <r>
    <s v="EMP176"/>
    <s v="Female"/>
    <n v="55"/>
    <s v="Category B"/>
    <x v="4"/>
    <s v="Senior Manager"/>
    <n v="2460000"/>
    <n v="0"/>
    <n v="38"/>
    <s v="Active"/>
    <s v="F"/>
    <s v="55+"/>
    <s v="Leadership"/>
    <x v="4"/>
  </r>
  <r>
    <s v="EMP177"/>
    <s v="Prefer Not to Say"/>
    <n v="26"/>
    <s v="Category B"/>
    <x v="4"/>
    <s v="Junior"/>
    <n v="420000"/>
    <n v="0"/>
    <n v="19"/>
    <s v="Active"/>
    <s v="Undisclosed"/>
    <s v="25-34"/>
    <s v="Entry"/>
    <x v="11"/>
  </r>
  <r>
    <s v="EMP178"/>
    <s v="Male"/>
    <n v="26"/>
    <s v="Category A"/>
    <x v="2"/>
    <s v="Entry"/>
    <n v="350000"/>
    <n v="0"/>
    <n v="9"/>
    <s v="Exited"/>
    <s v="M"/>
    <s v="25-34"/>
    <s v="Entry"/>
    <x v="1"/>
  </r>
  <r>
    <s v="EMP179"/>
    <s v="Male"/>
    <n v="33"/>
    <s v="Category C"/>
    <x v="2"/>
    <s v="Mid-Level"/>
    <n v="990000"/>
    <n v="0"/>
    <n v="39"/>
    <s v="Active"/>
    <s v="M"/>
    <s v="25-34"/>
    <s v="Mid"/>
    <x v="0"/>
  </r>
  <r>
    <s v="EMP180"/>
    <s v="Female"/>
    <n v="51"/>
    <s v="Category D"/>
    <x v="4"/>
    <s v="Manager"/>
    <n v="1580000"/>
    <n v="2"/>
    <n v="52"/>
    <s v="Active"/>
    <s v="F"/>
    <s v="45-54"/>
    <s v="Leadership"/>
    <x v="8"/>
  </r>
  <r>
    <s v="EMP181"/>
    <s v="Female"/>
    <n v="24"/>
    <s v="Category A"/>
    <x v="7"/>
    <s v="Junior"/>
    <n v="570000"/>
    <n v="0"/>
    <n v="19"/>
    <s v="Active"/>
    <s v="F"/>
    <s v="&lt;25"/>
    <s v="Entry"/>
    <x v="5"/>
  </r>
  <r>
    <s v="EMP182"/>
    <s v="Prefer Not to Say"/>
    <n v="23"/>
    <s v="Category D"/>
    <x v="0"/>
    <s v="Junior"/>
    <n v="585000"/>
    <n v="0"/>
    <n v="23"/>
    <s v="Active"/>
    <s v="Undisclosed"/>
    <s v="&lt;25"/>
    <s v="Entry"/>
    <x v="14"/>
  </r>
  <r>
    <s v="EMP183"/>
    <s v="Male"/>
    <n v="37"/>
    <s v="Category C"/>
    <x v="7"/>
    <s v="Senior"/>
    <n v="1280000"/>
    <n v="1"/>
    <n v="30"/>
    <s v="Exited"/>
    <s v="M"/>
    <s v="35-44"/>
    <s v="Senior"/>
    <x v="0"/>
  </r>
  <r>
    <s v="EMP184"/>
    <s v="Non-Binary"/>
    <n v="21"/>
    <s v="Category A"/>
    <x v="3"/>
    <s v="Entry"/>
    <n v="360000"/>
    <n v="1"/>
    <n v="19"/>
    <s v="Active"/>
    <s v="Other"/>
    <s v="&lt;25"/>
    <s v="Entry"/>
    <x v="15"/>
  </r>
  <r>
    <s v="EMP185"/>
    <s v="Female"/>
    <n v="36"/>
    <s v="Category B"/>
    <x v="4"/>
    <s v="Senior"/>
    <n v="1290000"/>
    <n v="1"/>
    <n v="24"/>
    <s v="Active"/>
    <s v="F"/>
    <s v="35-44"/>
    <s v="Senior"/>
    <x v="4"/>
  </r>
  <r>
    <s v="EMP186"/>
    <s v="Female"/>
    <n v="24"/>
    <s v="Category A"/>
    <x v="4"/>
    <s v="Junior"/>
    <n v="415000"/>
    <n v="1"/>
    <n v="25"/>
    <s v="Active"/>
    <s v="F"/>
    <s v="&lt;25"/>
    <s v="Entry"/>
    <x v="5"/>
  </r>
  <r>
    <s v="EMP187"/>
    <s v="Male"/>
    <n v="34"/>
    <s v="Category A"/>
    <x v="3"/>
    <s v="Senior"/>
    <n v="1200000"/>
    <n v="1"/>
    <n v="51"/>
    <s v="Active"/>
    <s v="M"/>
    <s v="25-34"/>
    <s v="Senior"/>
    <x v="1"/>
  </r>
  <r>
    <s v="EMP188"/>
    <s v="Female"/>
    <n v="49"/>
    <s v="Category B"/>
    <x v="4"/>
    <s v="Manager"/>
    <n v="1390000"/>
    <n v="2"/>
    <n v="45"/>
    <s v="Active"/>
    <s v="F"/>
    <s v="45-54"/>
    <s v="Leadership"/>
    <x v="4"/>
  </r>
  <r>
    <s v="EMP189"/>
    <s v="Male"/>
    <n v="40"/>
    <s v="Category A"/>
    <x v="3"/>
    <s v="Manager"/>
    <n v="1970000"/>
    <n v="0"/>
    <n v="48"/>
    <s v="Active"/>
    <s v="M"/>
    <s v="35-44"/>
    <s v="Leadership"/>
    <x v="1"/>
  </r>
  <r>
    <s v="EMP190"/>
    <s v="Female"/>
    <n v="30"/>
    <s v="Category C"/>
    <x v="0"/>
    <s v="Junior"/>
    <n v="415000"/>
    <n v="0"/>
    <n v="28"/>
    <s v="Active"/>
    <s v="F"/>
    <s v="25-34"/>
    <s v="Entry"/>
    <x v="2"/>
  </r>
  <r>
    <s v="EMP191"/>
    <s v="Male"/>
    <n v="24"/>
    <s v="Category C"/>
    <x v="3"/>
    <s v="Entry"/>
    <n v="490000"/>
    <n v="1"/>
    <n v="24"/>
    <s v="Active"/>
    <s v="M"/>
    <s v="&lt;25"/>
    <s v="Entry"/>
    <x v="0"/>
  </r>
  <r>
    <s v="EMP192"/>
    <s v="Male"/>
    <n v="60"/>
    <s v="Category D"/>
    <x v="3"/>
    <s v="Senior Manager"/>
    <n v="1880000"/>
    <n v="1"/>
    <n v="73"/>
    <s v="Active"/>
    <s v="M"/>
    <s v="55+"/>
    <s v="Leadership"/>
    <x v="6"/>
  </r>
  <r>
    <s v="EMP193"/>
    <s v="Female"/>
    <n v="33"/>
    <s v="Category B"/>
    <x v="3"/>
    <s v="Senior"/>
    <n v="1355000"/>
    <n v="1"/>
    <n v="23"/>
    <s v="Active"/>
    <s v="F"/>
    <s v="25-34"/>
    <s v="Senior"/>
    <x v="4"/>
  </r>
  <r>
    <s v="EMP194"/>
    <s v="Female"/>
    <n v="26"/>
    <s v="Category A"/>
    <x v="4"/>
    <s v="Junior"/>
    <n v="580000"/>
    <n v="1"/>
    <n v="26"/>
    <s v="Exited"/>
    <s v="F"/>
    <s v="25-34"/>
    <s v="Entry"/>
    <x v="5"/>
  </r>
  <r>
    <s v="EMP195"/>
    <s v="Female"/>
    <n v="23"/>
    <s v="Category C"/>
    <x v="3"/>
    <s v="Entry"/>
    <n v="460000"/>
    <n v="0"/>
    <n v="24"/>
    <s v="Active"/>
    <s v="F"/>
    <s v="&lt;25"/>
    <s v="Entry"/>
    <x v="2"/>
  </r>
  <r>
    <s v="EMP196"/>
    <s v="Female"/>
    <n v="42"/>
    <s v="Category A"/>
    <x v="4"/>
    <s v="Senior"/>
    <n v="1255000"/>
    <n v="2"/>
    <n v="56"/>
    <s v="Active"/>
    <s v="F"/>
    <s v="35-44"/>
    <s v="Senior"/>
    <x v="5"/>
  </r>
  <r>
    <s v="EMP197"/>
    <s v="Female"/>
    <n v="43"/>
    <s v="Category B"/>
    <x v="4"/>
    <s v="Senior"/>
    <n v="1500000"/>
    <n v="1"/>
    <n v="60"/>
    <s v="Active"/>
    <s v="F"/>
    <s v="35-44"/>
    <s v="Senior"/>
    <x v="4"/>
  </r>
  <r>
    <s v="EMP198"/>
    <s v="Male"/>
    <n v="37"/>
    <s v="Category B"/>
    <x v="7"/>
    <s v="Mid-Level"/>
    <n v="815000"/>
    <n v="0"/>
    <n v="19"/>
    <s v="Active"/>
    <s v="M"/>
    <s v="35-44"/>
    <s v="Mid"/>
    <x v="3"/>
  </r>
  <r>
    <s v="EMP199"/>
    <s v="Female"/>
    <n v="25"/>
    <s v="Prefer Not to Say"/>
    <x v="3"/>
    <s v="Junior"/>
    <n v="565000"/>
    <n v="1"/>
    <n v="20"/>
    <s v="Active"/>
    <s v="F"/>
    <s v="25-34"/>
    <s v="Entry"/>
    <x v="9"/>
  </r>
  <r>
    <s v="EMP200"/>
    <s v="Male"/>
    <n v="39"/>
    <s v="Category A"/>
    <x v="0"/>
    <s v="Senior"/>
    <n v="1490000"/>
    <n v="0"/>
    <n v="35"/>
    <s v="Active"/>
    <s v="M"/>
    <s v="35-44"/>
    <s v="Senior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0">
  <r>
    <s v="EMP001"/>
    <x v="0"/>
    <n v="27"/>
    <s v="Category C"/>
    <s v="Finance"/>
    <s v="Mid-Level"/>
    <n v="990000"/>
    <n v="0"/>
    <n v="29"/>
    <s v="Active"/>
    <s v="M"/>
    <s v="25-34"/>
    <s v="Mid"/>
    <s v="M|Category C"/>
    <x v="0"/>
  </r>
  <r>
    <s v="EMP002"/>
    <x v="0"/>
    <n v="27"/>
    <s v="Category A"/>
    <s v="Customer Service"/>
    <s v="Mid-Level"/>
    <n v="615000"/>
    <n v="0"/>
    <n v="29"/>
    <s v="Active"/>
    <s v="M"/>
    <s v="25-34"/>
    <s v="Mid"/>
    <s v="M|Category A"/>
    <x v="0"/>
  </r>
  <r>
    <s v="EMP003"/>
    <x v="0"/>
    <n v="27"/>
    <s v="Category A"/>
    <s v="Operations"/>
    <s v="Junior"/>
    <n v="405000"/>
    <n v="1"/>
    <n v="15"/>
    <s v="Active"/>
    <s v="M"/>
    <s v="25-34"/>
    <s v="Entry"/>
    <s v="M|Category A"/>
    <x v="1"/>
  </r>
  <r>
    <s v="EMP004"/>
    <x v="1"/>
    <n v="24"/>
    <s v="Category C"/>
    <s v="Finance"/>
    <s v="Entry"/>
    <n v="325000"/>
    <n v="0"/>
    <n v="19"/>
    <s v="Active"/>
    <s v="F"/>
    <s v="&lt;25"/>
    <s v="Entry"/>
    <s v="F|Category C"/>
    <x v="1"/>
  </r>
  <r>
    <s v="EMP005"/>
    <x v="1"/>
    <n v="52"/>
    <s v="Category C"/>
    <s v="Finance"/>
    <s v="Senior Manager"/>
    <n v="1885000"/>
    <n v="1"/>
    <n v="70"/>
    <s v="Active"/>
    <s v="F"/>
    <s v="45-54"/>
    <s v="Leadership"/>
    <s v="F|Category C"/>
    <x v="0"/>
  </r>
  <r>
    <s v="EMP006"/>
    <x v="0"/>
    <n v="22"/>
    <s v="Category B"/>
    <s v="Operations"/>
    <s v="Entry"/>
    <n v="375000"/>
    <n v="1"/>
    <n v="15"/>
    <s v="Exited"/>
    <s v="M"/>
    <s v="&lt;25"/>
    <s v="Entry"/>
    <s v="M|Category B"/>
    <x v="1"/>
  </r>
  <r>
    <s v="EMP007"/>
    <x v="1"/>
    <n v="23"/>
    <s v="Category C"/>
    <s v="Marketing"/>
    <s v="Entry"/>
    <n v="355000"/>
    <n v="1"/>
    <n v="30"/>
    <s v="Exited"/>
    <s v="F"/>
    <s v="&lt;25"/>
    <s v="Entry"/>
    <s v="F|Category C"/>
    <x v="1"/>
  </r>
  <r>
    <s v="EMP008"/>
    <x v="1"/>
    <n v="30"/>
    <s v="Category C"/>
    <s v="Operations"/>
    <s v="Mid-Level"/>
    <n v="685000"/>
    <n v="0"/>
    <n v="32"/>
    <s v="Exited"/>
    <s v="F"/>
    <s v="25-34"/>
    <s v="Mid"/>
    <s v="F|Category C"/>
    <x v="0"/>
  </r>
  <r>
    <s v="EMP009"/>
    <x v="0"/>
    <n v="43"/>
    <s v="Category A"/>
    <s v="Operations"/>
    <s v="Senior"/>
    <n v="960000"/>
    <n v="0"/>
    <n v="22"/>
    <s v="Active"/>
    <s v="M"/>
    <s v="35-44"/>
    <s v="Senior"/>
    <s v="M|Category A"/>
    <x v="0"/>
  </r>
  <r>
    <s v="EMP010"/>
    <x v="0"/>
    <n v="30"/>
    <s v="Category A"/>
    <s v="IT"/>
    <s v="Junior"/>
    <n v="605000"/>
    <n v="1"/>
    <n v="30"/>
    <s v="Active"/>
    <s v="M"/>
    <s v="25-34"/>
    <s v="Entry"/>
    <s v="M|Category A"/>
    <x v="1"/>
  </r>
  <r>
    <s v="EMP011"/>
    <x v="0"/>
    <n v="37"/>
    <s v="Category A"/>
    <s v="Finance"/>
    <s v="Senior"/>
    <n v="1320000"/>
    <n v="0"/>
    <n v="28"/>
    <s v="Active"/>
    <s v="M"/>
    <s v="35-44"/>
    <s v="Senior"/>
    <s v="M|Category A"/>
    <x v="0"/>
  </r>
  <r>
    <s v="EMP012"/>
    <x v="1"/>
    <n v="22"/>
    <s v="Category B"/>
    <s v="IT"/>
    <s v="Entry"/>
    <n v="480000"/>
    <n v="0"/>
    <n v="10"/>
    <s v="Active"/>
    <s v="F"/>
    <s v="&lt;25"/>
    <s v="Entry"/>
    <s v="F|Category B"/>
    <x v="1"/>
  </r>
  <r>
    <s v="EMP013"/>
    <x v="1"/>
    <n v="40"/>
    <s v="Category C"/>
    <s v="Operations"/>
    <s v="Senior Manager"/>
    <n v="2515000"/>
    <n v="2"/>
    <n v="73"/>
    <s v="Exited"/>
    <s v="F"/>
    <s v="35-44"/>
    <s v="Leadership"/>
    <s v="F|Category C"/>
    <x v="0"/>
  </r>
  <r>
    <s v="EMP014"/>
    <x v="1"/>
    <n v="24"/>
    <s v="Category B"/>
    <s v="Finance"/>
    <s v="Entry"/>
    <n v="340000"/>
    <n v="0"/>
    <n v="16"/>
    <s v="Exited"/>
    <s v="F"/>
    <s v="&lt;25"/>
    <s v="Entry"/>
    <s v="F|Category B"/>
    <x v="1"/>
  </r>
  <r>
    <s v="EMP015"/>
    <x v="1"/>
    <n v="44"/>
    <s v="Category B"/>
    <s v="HR"/>
    <s v="Manager"/>
    <n v="1970000"/>
    <n v="1"/>
    <n v="37"/>
    <s v="Active"/>
    <s v="F"/>
    <s v="35-44"/>
    <s v="Leadership"/>
    <s v="F|Category B"/>
    <x v="0"/>
  </r>
  <r>
    <s v="EMP016"/>
    <x v="1"/>
    <n v="34"/>
    <s v="Category B"/>
    <s v="HR"/>
    <s v="Mid-Level"/>
    <n v="610000"/>
    <n v="0"/>
    <n v="38"/>
    <s v="Exited"/>
    <s v="F"/>
    <s v="25-34"/>
    <s v="Mid"/>
    <s v="F|Category B"/>
    <x v="0"/>
  </r>
  <r>
    <s v="EMP017"/>
    <x v="1"/>
    <n v="24"/>
    <s v="Category C"/>
    <s v="Marketing"/>
    <s v="Junior"/>
    <n v="445000"/>
    <n v="1"/>
    <n v="36"/>
    <s v="Active"/>
    <s v="F"/>
    <s v="&lt;25"/>
    <s v="Entry"/>
    <s v="F|Category C"/>
    <x v="1"/>
  </r>
  <r>
    <s v="EMP018"/>
    <x v="0"/>
    <n v="39"/>
    <s v="Category B"/>
    <s v="Sales"/>
    <s v="Senior"/>
    <n v="1075000"/>
    <n v="0"/>
    <n v="58"/>
    <s v="Active"/>
    <s v="M"/>
    <s v="35-44"/>
    <s v="Senior"/>
    <s v="M|Category B"/>
    <x v="0"/>
  </r>
  <r>
    <s v="EMP019"/>
    <x v="0"/>
    <n v="37"/>
    <s v="Category A"/>
    <s v="HR"/>
    <s v="Senior"/>
    <n v="1290000"/>
    <n v="1"/>
    <n v="53"/>
    <s v="Active"/>
    <s v="M"/>
    <s v="35-44"/>
    <s v="Senior"/>
    <s v="M|Category A"/>
    <x v="0"/>
  </r>
  <r>
    <s v="EMP020"/>
    <x v="0"/>
    <n v="30"/>
    <s v="Category A"/>
    <s v="HR"/>
    <s v="Mid-Level"/>
    <n v="910000"/>
    <n v="0"/>
    <n v="19"/>
    <s v="Active"/>
    <s v="M"/>
    <s v="25-34"/>
    <s v="Mid"/>
    <s v="M|Category A"/>
    <x v="0"/>
  </r>
  <r>
    <s v="EMP021"/>
    <x v="1"/>
    <n v="37"/>
    <s v="Category C"/>
    <s v="R&amp;D"/>
    <s v="Manager"/>
    <n v="1840000"/>
    <n v="0"/>
    <n v="67"/>
    <s v="Active"/>
    <s v="F"/>
    <s v="35-44"/>
    <s v="Leadership"/>
    <s v="F|Category C"/>
    <x v="0"/>
  </r>
  <r>
    <s v="EMP022"/>
    <x v="0"/>
    <n v="30"/>
    <s v="Category B"/>
    <s v="HR"/>
    <s v="Junior"/>
    <n v="615000"/>
    <n v="0"/>
    <n v="13"/>
    <s v="Active"/>
    <s v="M"/>
    <s v="25-34"/>
    <s v="Entry"/>
    <s v="M|Category B"/>
    <x v="1"/>
  </r>
  <r>
    <s v="EMP023"/>
    <x v="0"/>
    <n v="41"/>
    <s v="Category A"/>
    <s v="R&amp;D"/>
    <s v="Senior"/>
    <n v="1005000"/>
    <n v="0"/>
    <n v="41"/>
    <s v="Active"/>
    <s v="M"/>
    <s v="35-44"/>
    <s v="Senior"/>
    <s v="M|Category A"/>
    <x v="0"/>
  </r>
  <r>
    <s v="EMP024"/>
    <x v="1"/>
    <n v="22"/>
    <s v="Category C"/>
    <s v="HR"/>
    <s v="Entry"/>
    <n v="375000"/>
    <n v="0"/>
    <n v="10"/>
    <s v="Active"/>
    <s v="F"/>
    <s v="&lt;25"/>
    <s v="Entry"/>
    <s v="F|Category C"/>
    <x v="1"/>
  </r>
  <r>
    <s v="EMP025"/>
    <x v="1"/>
    <n v="39"/>
    <s v="Category A"/>
    <s v="Customer Service"/>
    <s v="Senior"/>
    <n v="915000"/>
    <n v="3"/>
    <n v="35"/>
    <s v="Active"/>
    <s v="F"/>
    <s v="35-44"/>
    <s v="Senior"/>
    <s v="F|Category A"/>
    <x v="0"/>
  </r>
  <r>
    <s v="EMP026"/>
    <x v="1"/>
    <n v="40"/>
    <s v="Category B"/>
    <s v="Customer Service"/>
    <s v="Manager"/>
    <n v="1695000"/>
    <n v="0"/>
    <n v="49"/>
    <s v="Active"/>
    <s v="F"/>
    <s v="35-44"/>
    <s v="Leadership"/>
    <s v="F|Category B"/>
    <x v="0"/>
  </r>
  <r>
    <s v="EMP027"/>
    <x v="0"/>
    <n v="42"/>
    <s v="Category D"/>
    <s v="HR"/>
    <s v="Senior"/>
    <n v="1485000"/>
    <n v="1"/>
    <n v="51"/>
    <s v="Active"/>
    <s v="M"/>
    <s v="35-44"/>
    <s v="Senior"/>
    <s v="M|Category D"/>
    <x v="0"/>
  </r>
  <r>
    <s v="EMP028"/>
    <x v="1"/>
    <n v="31"/>
    <s v="Category A"/>
    <s v="Finance"/>
    <s v="Senior"/>
    <n v="955000"/>
    <n v="1"/>
    <n v="52"/>
    <s v="Exited"/>
    <s v="F"/>
    <s v="25-34"/>
    <s v="Senior"/>
    <s v="F|Category A"/>
    <x v="0"/>
  </r>
  <r>
    <s v="EMP029"/>
    <x v="2"/>
    <n v="37"/>
    <s v="Category C"/>
    <s v="HR"/>
    <s v="Manager"/>
    <n v="1925000"/>
    <n v="0"/>
    <n v="40"/>
    <s v="Active"/>
    <s v="Other"/>
    <s v="35-44"/>
    <s v="Leadership"/>
    <s v="Other|Category C"/>
    <x v="0"/>
  </r>
  <r>
    <s v="EMP030"/>
    <x v="0"/>
    <n v="33"/>
    <s v="Category C"/>
    <s v="Operations"/>
    <s v="Mid-Level"/>
    <n v="945000"/>
    <n v="1"/>
    <n v="48"/>
    <s v="Active"/>
    <s v="M"/>
    <s v="25-34"/>
    <s v="Mid"/>
    <s v="M|Category C"/>
    <x v="0"/>
  </r>
  <r>
    <s v="EMP031"/>
    <x v="1"/>
    <n v="29"/>
    <s v="Category D"/>
    <s v="HR"/>
    <s v="Junior"/>
    <n v="470000"/>
    <n v="1"/>
    <n v="19"/>
    <s v="Active"/>
    <s v="F"/>
    <s v="25-34"/>
    <s v="Entry"/>
    <s v="F|Category D"/>
    <x v="1"/>
  </r>
  <r>
    <s v="EMP032"/>
    <x v="0"/>
    <n v="36"/>
    <s v="Category B"/>
    <s v="Finance"/>
    <s v="Mid-Level"/>
    <n v="650000"/>
    <n v="0"/>
    <n v="28"/>
    <s v="Active"/>
    <s v="M"/>
    <s v="35-44"/>
    <s v="Mid"/>
    <s v="M|Category B"/>
    <x v="0"/>
  </r>
  <r>
    <s v="EMP033"/>
    <x v="1"/>
    <n v="46"/>
    <s v="Prefer Not to Say"/>
    <s v="HR"/>
    <s v="Manager"/>
    <n v="1600000"/>
    <n v="0"/>
    <n v="59"/>
    <s v="Active"/>
    <s v="F"/>
    <s v="45-54"/>
    <s v="Leadership"/>
    <s v="F|Prefer Not to Say"/>
    <x v="0"/>
  </r>
  <r>
    <s v="EMP034"/>
    <x v="0"/>
    <n v="39"/>
    <s v="Category A"/>
    <s v="Finance"/>
    <s v="Senior"/>
    <n v="1215000"/>
    <n v="3"/>
    <n v="26"/>
    <s v="Exited"/>
    <s v="M"/>
    <s v="35-44"/>
    <s v="Senior"/>
    <s v="M|Category A"/>
    <x v="0"/>
  </r>
  <r>
    <s v="EMP035"/>
    <x v="0"/>
    <n v="33"/>
    <s v="Category C"/>
    <s v="IT"/>
    <s v="Senior"/>
    <n v="1185000"/>
    <n v="0"/>
    <n v="33"/>
    <s v="Active"/>
    <s v="M"/>
    <s v="25-34"/>
    <s v="Senior"/>
    <s v="M|Category C"/>
    <x v="0"/>
  </r>
  <r>
    <s v="EMP036"/>
    <x v="0"/>
    <n v="31"/>
    <s v="Category B"/>
    <s v="Marketing"/>
    <s v="Mid-Level"/>
    <n v="625000"/>
    <n v="0"/>
    <n v="42"/>
    <s v="Active"/>
    <s v="M"/>
    <s v="25-34"/>
    <s v="Mid"/>
    <s v="M|Category B"/>
    <x v="0"/>
  </r>
  <r>
    <s v="EMP037"/>
    <x v="1"/>
    <n v="31"/>
    <s v="Category A"/>
    <s v="Marketing"/>
    <s v="Mid-Level"/>
    <n v="685000"/>
    <n v="1"/>
    <n v="50"/>
    <s v="Active"/>
    <s v="F"/>
    <s v="25-34"/>
    <s v="Mid"/>
    <s v="F|Category A"/>
    <x v="0"/>
  </r>
  <r>
    <s v="EMP038"/>
    <x v="0"/>
    <n v="32"/>
    <s v="Category D"/>
    <s v="HR"/>
    <s v="Mid-Level"/>
    <n v="905000"/>
    <n v="1"/>
    <n v="42"/>
    <s v="Active"/>
    <s v="M"/>
    <s v="25-34"/>
    <s v="Mid"/>
    <s v="M|Category D"/>
    <x v="0"/>
  </r>
  <r>
    <s v="EMP039"/>
    <x v="1"/>
    <n v="41"/>
    <s v="Category B"/>
    <s v="Marketing"/>
    <s v="Manager"/>
    <n v="1560000"/>
    <n v="1"/>
    <n v="47"/>
    <s v="Active"/>
    <s v="F"/>
    <s v="35-44"/>
    <s v="Leadership"/>
    <s v="F|Category B"/>
    <x v="0"/>
  </r>
  <r>
    <s v="EMP040"/>
    <x v="0"/>
    <n v="42"/>
    <s v="Category C"/>
    <s v="Operations"/>
    <s v="Manager"/>
    <n v="1470000"/>
    <n v="3"/>
    <n v="36"/>
    <s v="Exited"/>
    <s v="M"/>
    <s v="35-44"/>
    <s v="Leadership"/>
    <s v="M|Category C"/>
    <x v="0"/>
  </r>
  <r>
    <s v="EMP041"/>
    <x v="0"/>
    <n v="37"/>
    <s v="Category B"/>
    <s v="Sales"/>
    <s v="Senior"/>
    <n v="1160000"/>
    <n v="0"/>
    <n v="26"/>
    <s v="Active"/>
    <s v="M"/>
    <s v="35-44"/>
    <s v="Senior"/>
    <s v="M|Category B"/>
    <x v="0"/>
  </r>
  <r>
    <s v="EMP042"/>
    <x v="1"/>
    <n v="38"/>
    <s v="Category B"/>
    <s v="IT"/>
    <s v="Senior"/>
    <n v="1265000"/>
    <n v="0"/>
    <n v="34"/>
    <s v="Active"/>
    <s v="F"/>
    <s v="35-44"/>
    <s v="Senior"/>
    <s v="F|Category B"/>
    <x v="0"/>
  </r>
  <r>
    <s v="EMP043"/>
    <x v="1"/>
    <n v="43"/>
    <s v="Category B"/>
    <s v="HR"/>
    <s v="Manager"/>
    <n v="1670000"/>
    <n v="1"/>
    <n v="50"/>
    <s v="Active"/>
    <s v="F"/>
    <s v="35-44"/>
    <s v="Leadership"/>
    <s v="F|Category B"/>
    <x v="0"/>
  </r>
  <r>
    <s v="EMP044"/>
    <x v="1"/>
    <n v="23"/>
    <s v="Category B"/>
    <s v="Operations"/>
    <s v="Entry"/>
    <n v="345000"/>
    <n v="0"/>
    <n v="16"/>
    <s v="Active"/>
    <s v="F"/>
    <s v="&lt;25"/>
    <s v="Entry"/>
    <s v="F|Category B"/>
    <x v="1"/>
  </r>
  <r>
    <s v="EMP045"/>
    <x v="1"/>
    <n v="35"/>
    <s v="Category A"/>
    <s v="Sales"/>
    <s v="Mid-Level"/>
    <n v="660000"/>
    <n v="0"/>
    <n v="27"/>
    <s v="Active"/>
    <s v="F"/>
    <s v="35-44"/>
    <s v="Mid"/>
    <s v="F|Category A"/>
    <x v="0"/>
  </r>
  <r>
    <s v="EMP046"/>
    <x v="1"/>
    <n v="24"/>
    <s v="Category B"/>
    <s v="IT"/>
    <s v="Junior"/>
    <n v="575000"/>
    <n v="0"/>
    <n v="31"/>
    <s v="Active"/>
    <s v="F"/>
    <s v="&lt;25"/>
    <s v="Entry"/>
    <s v="F|Category B"/>
    <x v="1"/>
  </r>
  <r>
    <s v="EMP047"/>
    <x v="0"/>
    <n v="36"/>
    <s v="Category D"/>
    <s v="Marketing"/>
    <s v="Senior"/>
    <n v="1320000"/>
    <n v="1"/>
    <n v="55"/>
    <s v="Active"/>
    <s v="M"/>
    <s v="35-44"/>
    <s v="Senior"/>
    <s v="M|Category D"/>
    <x v="0"/>
  </r>
  <r>
    <s v="EMP048"/>
    <x v="0"/>
    <n v="31"/>
    <s v="Category D"/>
    <s v="Operations"/>
    <s v="Mid-Level"/>
    <n v="815000"/>
    <n v="1"/>
    <n v="15"/>
    <s v="Active"/>
    <s v="M"/>
    <s v="25-34"/>
    <s v="Mid"/>
    <s v="M|Category D"/>
    <x v="0"/>
  </r>
  <r>
    <s v="EMP049"/>
    <x v="2"/>
    <n v="34"/>
    <s v="Category C"/>
    <s v="Finance"/>
    <s v="Mid-Level"/>
    <n v="955000"/>
    <n v="0"/>
    <n v="45"/>
    <s v="Active"/>
    <s v="Other"/>
    <s v="25-34"/>
    <s v="Mid"/>
    <s v="Other|Category C"/>
    <x v="0"/>
  </r>
  <r>
    <s v="EMP050"/>
    <x v="0"/>
    <n v="28"/>
    <s v="Category D"/>
    <s v="Marketing"/>
    <s v="Junior"/>
    <n v="450000"/>
    <n v="1"/>
    <n v="34"/>
    <s v="Active"/>
    <s v="M"/>
    <s v="25-34"/>
    <s v="Entry"/>
    <s v="M|Category D"/>
    <x v="1"/>
  </r>
  <r>
    <s v="EMP051"/>
    <x v="1"/>
    <n v="22"/>
    <s v="Category C"/>
    <s v="Customer Service"/>
    <s v="Entry"/>
    <n v="425000"/>
    <n v="0"/>
    <n v="10"/>
    <s v="Active"/>
    <s v="F"/>
    <s v="&lt;25"/>
    <s v="Entry"/>
    <s v="F|Category C"/>
    <x v="1"/>
  </r>
  <r>
    <s v="EMP052"/>
    <x v="1"/>
    <n v="30"/>
    <s v="Category D"/>
    <s v="Customer Service"/>
    <s v="Mid-Level"/>
    <n v="675000"/>
    <n v="1"/>
    <n v="15"/>
    <s v="Exited"/>
    <s v="F"/>
    <s v="25-34"/>
    <s v="Mid"/>
    <s v="F|Category D"/>
    <x v="0"/>
  </r>
  <r>
    <s v="EMP053"/>
    <x v="0"/>
    <n v="31"/>
    <s v="Category A"/>
    <s v="R&amp;D"/>
    <s v="Junior"/>
    <n v="645000"/>
    <n v="0"/>
    <n v="17"/>
    <s v="Exited"/>
    <s v="M"/>
    <s v="25-34"/>
    <s v="Entry"/>
    <s v="M|Category A"/>
    <x v="1"/>
  </r>
  <r>
    <s v="EMP054"/>
    <x v="1"/>
    <n v="39"/>
    <s v="Category B"/>
    <s v="R&amp;D"/>
    <s v="Senior"/>
    <n v="1235000"/>
    <n v="3"/>
    <n v="48"/>
    <s v="Active"/>
    <s v="F"/>
    <s v="35-44"/>
    <s v="Senior"/>
    <s v="F|Category B"/>
    <x v="0"/>
  </r>
  <r>
    <s v="EMP055"/>
    <x v="0"/>
    <n v="50"/>
    <s v="Category C"/>
    <s v="R&amp;D"/>
    <s v="Manager"/>
    <n v="1770000"/>
    <n v="0"/>
    <n v="40"/>
    <s v="Active"/>
    <s v="M"/>
    <s v="45-54"/>
    <s v="Leadership"/>
    <s v="M|Category C"/>
    <x v="0"/>
  </r>
  <r>
    <s v="EMP056"/>
    <x v="0"/>
    <n v="31"/>
    <s v="Category D"/>
    <s v="Finance"/>
    <s v="Mid-Level"/>
    <n v="830000"/>
    <n v="0"/>
    <n v="33"/>
    <s v="Active"/>
    <s v="M"/>
    <s v="25-34"/>
    <s v="Mid"/>
    <s v="M|Category D"/>
    <x v="0"/>
  </r>
  <r>
    <s v="EMP057"/>
    <x v="0"/>
    <n v="22"/>
    <s v="Category B"/>
    <s v="R&amp;D"/>
    <s v="Entry"/>
    <n v="400000"/>
    <n v="1"/>
    <n v="30"/>
    <s v="Active"/>
    <s v="M"/>
    <s v="&lt;25"/>
    <s v="Entry"/>
    <s v="M|Category B"/>
    <x v="1"/>
  </r>
  <r>
    <s v="EMP058"/>
    <x v="1"/>
    <n v="30"/>
    <s v="Category B"/>
    <s v="HR"/>
    <s v="Mid-Level"/>
    <n v="820000"/>
    <n v="0"/>
    <n v="16"/>
    <s v="Exited"/>
    <s v="F"/>
    <s v="25-34"/>
    <s v="Mid"/>
    <s v="F|Category B"/>
    <x v="0"/>
  </r>
  <r>
    <s v="EMP059"/>
    <x v="1"/>
    <n v="44"/>
    <s v="Category D"/>
    <s v="Sales"/>
    <s v="Manager"/>
    <n v="1710000"/>
    <n v="2"/>
    <n v="51"/>
    <s v="Active"/>
    <s v="F"/>
    <s v="35-44"/>
    <s v="Leadership"/>
    <s v="F|Category D"/>
    <x v="0"/>
  </r>
  <r>
    <s v="EMP060"/>
    <x v="1"/>
    <n v="31"/>
    <s v="Category B"/>
    <s v="Marketing"/>
    <s v="Mid-Level"/>
    <n v="830000"/>
    <n v="0"/>
    <n v="39"/>
    <s v="Active"/>
    <s v="F"/>
    <s v="25-34"/>
    <s v="Mid"/>
    <s v="F|Category B"/>
    <x v="0"/>
  </r>
  <r>
    <s v="EMP061"/>
    <x v="0"/>
    <n v="45"/>
    <s v="Category C"/>
    <s v="HR"/>
    <s v="Senior"/>
    <n v="1035000"/>
    <n v="3"/>
    <n v="54"/>
    <s v="Active"/>
    <s v="M"/>
    <s v="45-54"/>
    <s v="Senior"/>
    <s v="M|Category C"/>
    <x v="0"/>
  </r>
  <r>
    <s v="EMP062"/>
    <x v="0"/>
    <n v="24"/>
    <s v="Category A"/>
    <s v="Operations"/>
    <s v="Entry"/>
    <n v="335000"/>
    <n v="1"/>
    <n v="13"/>
    <s v="Active"/>
    <s v="M"/>
    <s v="&lt;25"/>
    <s v="Entry"/>
    <s v="M|Category A"/>
    <x v="1"/>
  </r>
  <r>
    <s v="EMP063"/>
    <x v="1"/>
    <n v="29"/>
    <s v="Category B"/>
    <s v="HR"/>
    <s v="Junior"/>
    <n v="545000"/>
    <n v="1"/>
    <n v="36"/>
    <s v="Active"/>
    <s v="F"/>
    <s v="25-34"/>
    <s v="Entry"/>
    <s v="F|Category B"/>
    <x v="1"/>
  </r>
  <r>
    <s v="EMP064"/>
    <x v="0"/>
    <n v="51"/>
    <s v="Category A"/>
    <s v="Sales"/>
    <s v="Senior Manager"/>
    <n v="2035000"/>
    <n v="1"/>
    <n v="79"/>
    <s v="Exited"/>
    <s v="M"/>
    <s v="45-54"/>
    <s v="Leadership"/>
    <s v="M|Category A"/>
    <x v="0"/>
  </r>
  <r>
    <s v="EMP065"/>
    <x v="1"/>
    <n v="23"/>
    <s v="Category A"/>
    <s v="IT"/>
    <s v="Junior"/>
    <n v="480000"/>
    <n v="0"/>
    <n v="25"/>
    <s v="Active"/>
    <s v="F"/>
    <s v="&lt;25"/>
    <s v="Entry"/>
    <s v="F|Category A"/>
    <x v="1"/>
  </r>
  <r>
    <s v="EMP066"/>
    <x v="0"/>
    <n v="33"/>
    <s v="Category A"/>
    <s v="IT"/>
    <s v="Senior"/>
    <n v="1020000"/>
    <n v="2"/>
    <n v="30"/>
    <s v="Exited"/>
    <s v="M"/>
    <s v="25-34"/>
    <s v="Senior"/>
    <s v="M|Category A"/>
    <x v="0"/>
  </r>
  <r>
    <s v="EMP067"/>
    <x v="1"/>
    <n v="33"/>
    <s v="Category C"/>
    <s v="Finance"/>
    <s v="Mid-Level"/>
    <n v="810000"/>
    <n v="2"/>
    <n v="27"/>
    <s v="Active"/>
    <s v="F"/>
    <s v="25-34"/>
    <s v="Mid"/>
    <s v="F|Category C"/>
    <x v="0"/>
  </r>
  <r>
    <s v="EMP068"/>
    <x v="0"/>
    <n v="35"/>
    <s v="Category B"/>
    <s v="Operations"/>
    <s v="Senior"/>
    <n v="1025000"/>
    <n v="2"/>
    <n v="56"/>
    <s v="Active"/>
    <s v="M"/>
    <s v="35-44"/>
    <s v="Senior"/>
    <s v="M|Category B"/>
    <x v="0"/>
  </r>
  <r>
    <s v="EMP069"/>
    <x v="0"/>
    <n v="26"/>
    <s v="Category D"/>
    <s v="R&amp;D"/>
    <s v="Entry"/>
    <n v="390000"/>
    <n v="0"/>
    <n v="21"/>
    <s v="Active"/>
    <s v="M"/>
    <s v="25-34"/>
    <s v="Entry"/>
    <s v="M|Category D"/>
    <x v="1"/>
  </r>
  <r>
    <s v="EMP070"/>
    <x v="1"/>
    <n v="37"/>
    <s v="Category C"/>
    <s v="R&amp;D"/>
    <s v="Senior"/>
    <n v="1085000"/>
    <n v="2"/>
    <n v="37"/>
    <s v="Active"/>
    <s v="F"/>
    <s v="35-44"/>
    <s v="Senior"/>
    <s v="F|Category C"/>
    <x v="0"/>
  </r>
  <r>
    <s v="EMP071"/>
    <x v="0"/>
    <n v="38"/>
    <s v="Category D"/>
    <s v="Sales"/>
    <s v="Mid-Level"/>
    <n v="910000"/>
    <n v="0"/>
    <n v="30"/>
    <s v="Active"/>
    <s v="M"/>
    <s v="35-44"/>
    <s v="Mid"/>
    <s v="M|Category D"/>
    <x v="0"/>
  </r>
  <r>
    <s v="EMP072"/>
    <x v="0"/>
    <n v="40"/>
    <s v="Category A"/>
    <s v="IT"/>
    <s v="Senior"/>
    <n v="1295000"/>
    <n v="0"/>
    <n v="51"/>
    <s v="Exited"/>
    <s v="M"/>
    <s v="35-44"/>
    <s v="Senior"/>
    <s v="M|Category A"/>
    <x v="0"/>
  </r>
  <r>
    <s v="EMP073"/>
    <x v="0"/>
    <n v="27"/>
    <s v="Category B"/>
    <s v="Sales"/>
    <s v="Junior"/>
    <n v="690000"/>
    <n v="0"/>
    <n v="40"/>
    <s v="Active"/>
    <s v="M"/>
    <s v="25-34"/>
    <s v="Entry"/>
    <s v="M|Category B"/>
    <x v="1"/>
  </r>
  <r>
    <s v="EMP074"/>
    <x v="0"/>
    <n v="41"/>
    <s v="Category C"/>
    <s v="IT"/>
    <s v="Senior"/>
    <n v="1415000"/>
    <n v="1"/>
    <n v="21"/>
    <s v="Active"/>
    <s v="M"/>
    <s v="35-44"/>
    <s v="Senior"/>
    <s v="M|Category C"/>
    <x v="0"/>
  </r>
  <r>
    <s v="EMP075"/>
    <x v="1"/>
    <n v="36"/>
    <s v="Category B"/>
    <s v="R&amp;D"/>
    <s v="Senior"/>
    <n v="1395000"/>
    <n v="1"/>
    <n v="42"/>
    <s v="Active"/>
    <s v="F"/>
    <s v="35-44"/>
    <s v="Senior"/>
    <s v="F|Category B"/>
    <x v="0"/>
  </r>
  <r>
    <s v="EMP076"/>
    <x v="1"/>
    <n v="27"/>
    <s v="Category D"/>
    <s v="Marketing"/>
    <s v="Junior"/>
    <n v="520000"/>
    <n v="0"/>
    <n v="16"/>
    <s v="Active"/>
    <s v="F"/>
    <s v="25-34"/>
    <s v="Entry"/>
    <s v="F|Category D"/>
    <x v="1"/>
  </r>
  <r>
    <s v="EMP077"/>
    <x v="0"/>
    <n v="30"/>
    <s v="Category A"/>
    <s v="Sales"/>
    <s v="Junior"/>
    <n v="545000"/>
    <n v="1"/>
    <n v="34"/>
    <s v="Active"/>
    <s v="M"/>
    <s v="25-34"/>
    <s v="Entry"/>
    <s v="M|Category A"/>
    <x v="1"/>
  </r>
  <r>
    <s v="EMP078"/>
    <x v="0"/>
    <n v="28"/>
    <s v="Prefer Not to Say"/>
    <s v="IT"/>
    <s v="Junior"/>
    <n v="495000"/>
    <n v="0"/>
    <n v="32"/>
    <s v="Active"/>
    <s v="M"/>
    <s v="25-34"/>
    <s v="Entry"/>
    <s v="M|Prefer Not to Say"/>
    <x v="1"/>
  </r>
  <r>
    <s v="EMP079"/>
    <x v="0"/>
    <n v="33"/>
    <s v="Category B"/>
    <s v="Marketing"/>
    <s v="Senior"/>
    <n v="1415000"/>
    <n v="0"/>
    <n v="20"/>
    <s v="Active"/>
    <s v="M"/>
    <s v="25-34"/>
    <s v="Senior"/>
    <s v="M|Category B"/>
    <x v="0"/>
  </r>
  <r>
    <s v="EMP080"/>
    <x v="0"/>
    <n v="48"/>
    <s v="Category A"/>
    <s v="HR"/>
    <s v="Senior Manager"/>
    <n v="2785000"/>
    <n v="2"/>
    <n v="37"/>
    <s v="Active"/>
    <s v="M"/>
    <s v="45-54"/>
    <s v="Leadership"/>
    <s v="M|Category A"/>
    <x v="0"/>
  </r>
  <r>
    <s v="EMP081"/>
    <x v="0"/>
    <n v="27"/>
    <s v="Category C"/>
    <s v="Sales"/>
    <s v="Entry"/>
    <n v="450000"/>
    <n v="1"/>
    <n v="10"/>
    <s v="Exited"/>
    <s v="M"/>
    <s v="25-34"/>
    <s v="Entry"/>
    <s v="M|Category C"/>
    <x v="1"/>
  </r>
  <r>
    <s v="EMP082"/>
    <x v="3"/>
    <n v="37"/>
    <s v="Category B"/>
    <s v="HR"/>
    <s v="Senior"/>
    <n v="1370000"/>
    <n v="3"/>
    <n v="39"/>
    <s v="Exited"/>
    <s v="Undisclosed"/>
    <s v="35-44"/>
    <s v="Senior"/>
    <s v="Undisclosed|Category B"/>
    <x v="0"/>
  </r>
  <r>
    <s v="EMP083"/>
    <x v="0"/>
    <n v="38"/>
    <s v="Category A"/>
    <s v="Sales"/>
    <s v="Mid-Level"/>
    <n v="650000"/>
    <n v="2"/>
    <n v="28"/>
    <s v="Active"/>
    <s v="M"/>
    <s v="35-44"/>
    <s v="Mid"/>
    <s v="M|Category A"/>
    <x v="0"/>
  </r>
  <r>
    <s v="EMP084"/>
    <x v="0"/>
    <n v="21"/>
    <s v="Category A"/>
    <s v="IT"/>
    <s v="Entry"/>
    <n v="340000"/>
    <n v="0"/>
    <n v="22"/>
    <s v="Active"/>
    <s v="M"/>
    <s v="&lt;25"/>
    <s v="Entry"/>
    <s v="M|Category A"/>
    <x v="1"/>
  </r>
  <r>
    <s v="EMP085"/>
    <x v="1"/>
    <n v="42"/>
    <s v="Category C"/>
    <s v="Sales"/>
    <s v="Senior"/>
    <n v="1375000"/>
    <n v="0"/>
    <n v="34"/>
    <s v="Exited"/>
    <s v="F"/>
    <s v="35-44"/>
    <s v="Senior"/>
    <s v="F|Category C"/>
    <x v="0"/>
  </r>
  <r>
    <s v="EMP086"/>
    <x v="0"/>
    <n v="35"/>
    <s v="Category A"/>
    <s v="IT"/>
    <s v="Mid-Level"/>
    <n v="720000"/>
    <n v="1"/>
    <n v="32"/>
    <s v="Active"/>
    <s v="M"/>
    <s v="35-44"/>
    <s v="Mid"/>
    <s v="M|Category A"/>
    <x v="0"/>
  </r>
  <r>
    <s v="EMP087"/>
    <x v="1"/>
    <n v="36"/>
    <s v="Category D"/>
    <s v="R&amp;D"/>
    <s v="Mid-Level"/>
    <n v="750000"/>
    <n v="0"/>
    <n v="44"/>
    <s v="Active"/>
    <s v="F"/>
    <s v="35-44"/>
    <s v="Mid"/>
    <s v="F|Category D"/>
    <x v="0"/>
  </r>
  <r>
    <s v="EMP088"/>
    <x v="0"/>
    <n v="36"/>
    <s v="Category A"/>
    <s v="HR"/>
    <s v="Mid-Level"/>
    <n v="620000"/>
    <n v="2"/>
    <n v="35"/>
    <s v="Active"/>
    <s v="M"/>
    <s v="35-44"/>
    <s v="Mid"/>
    <s v="M|Category A"/>
    <x v="0"/>
  </r>
  <r>
    <s v="EMP089"/>
    <x v="1"/>
    <n v="48"/>
    <s v="Category B"/>
    <s v="IT"/>
    <s v="Senior Manager"/>
    <n v="2405000"/>
    <n v="0"/>
    <n v="78"/>
    <s v="Active"/>
    <s v="F"/>
    <s v="45-54"/>
    <s v="Leadership"/>
    <s v="F|Category B"/>
    <x v="0"/>
  </r>
  <r>
    <s v="EMP090"/>
    <x v="0"/>
    <n v="29"/>
    <s v="Category C"/>
    <s v="Marketing"/>
    <s v="Junior"/>
    <n v="660000"/>
    <n v="1"/>
    <n v="25"/>
    <s v="Active"/>
    <s v="M"/>
    <s v="25-34"/>
    <s v="Entry"/>
    <s v="M|Category C"/>
    <x v="1"/>
  </r>
  <r>
    <s v="EMP091"/>
    <x v="1"/>
    <n v="30"/>
    <s v="Category B"/>
    <s v="Operations"/>
    <s v="Junior"/>
    <n v="550000"/>
    <n v="0"/>
    <n v="22"/>
    <s v="Active"/>
    <s v="F"/>
    <s v="25-34"/>
    <s v="Entry"/>
    <s v="F|Category B"/>
    <x v="1"/>
  </r>
  <r>
    <s v="EMP092"/>
    <x v="1"/>
    <n v="24"/>
    <s v="Category B"/>
    <s v="Customer Service"/>
    <s v="Junior"/>
    <n v="610000"/>
    <n v="1"/>
    <n v="36"/>
    <s v="Exited"/>
    <s v="F"/>
    <s v="&lt;25"/>
    <s v="Entry"/>
    <s v="F|Category B"/>
    <x v="1"/>
  </r>
  <r>
    <s v="EMP093"/>
    <x v="1"/>
    <n v="25"/>
    <s v="Category A"/>
    <s v="Marketing"/>
    <s v="Entry"/>
    <n v="395000"/>
    <n v="0"/>
    <n v="23"/>
    <s v="Active"/>
    <s v="F"/>
    <s v="25-34"/>
    <s v="Entry"/>
    <s v="F|Category A"/>
    <x v="1"/>
  </r>
  <r>
    <s v="EMP094"/>
    <x v="0"/>
    <n v="49"/>
    <s v="Category A"/>
    <s v="HR"/>
    <s v="Manager"/>
    <n v="1810000"/>
    <n v="0"/>
    <n v="65"/>
    <s v="Active"/>
    <s v="M"/>
    <s v="45-54"/>
    <s v="Leadership"/>
    <s v="M|Category A"/>
    <x v="0"/>
  </r>
  <r>
    <s v="EMP095"/>
    <x v="0"/>
    <n v="28"/>
    <s v="Category D"/>
    <s v="R&amp;D"/>
    <s v="Mid-Level"/>
    <n v="720000"/>
    <n v="2"/>
    <n v="22"/>
    <s v="Active"/>
    <s v="M"/>
    <s v="25-34"/>
    <s v="Mid"/>
    <s v="M|Category D"/>
    <x v="0"/>
  </r>
  <r>
    <s v="EMP096"/>
    <x v="3"/>
    <n v="44"/>
    <s v="Category A"/>
    <s v="Marketing"/>
    <s v="Manager"/>
    <n v="1835000"/>
    <n v="2"/>
    <n v="51"/>
    <s v="Active"/>
    <s v="Undisclosed"/>
    <s v="35-44"/>
    <s v="Leadership"/>
    <s v="Undisclosed|Category A"/>
    <x v="0"/>
  </r>
  <r>
    <s v="EMP097"/>
    <x v="1"/>
    <n v="31"/>
    <s v="Category B"/>
    <s v="IT"/>
    <s v="Junior"/>
    <n v="470000"/>
    <n v="1"/>
    <n v="18"/>
    <s v="Active"/>
    <s v="F"/>
    <s v="25-34"/>
    <s v="Entry"/>
    <s v="F|Category B"/>
    <x v="1"/>
  </r>
  <r>
    <s v="EMP098"/>
    <x v="1"/>
    <n v="35"/>
    <s v="Category A"/>
    <s v="R&amp;D"/>
    <s v="Senior"/>
    <n v="1215000"/>
    <n v="2"/>
    <n v="57"/>
    <s v="Exited"/>
    <s v="F"/>
    <s v="35-44"/>
    <s v="Senior"/>
    <s v="F|Category A"/>
    <x v="0"/>
  </r>
  <r>
    <s v="EMP099"/>
    <x v="0"/>
    <n v="31"/>
    <s v="Category C"/>
    <s v="Customer Service"/>
    <s v="Junior"/>
    <n v="685000"/>
    <n v="0"/>
    <n v="39"/>
    <s v="Active"/>
    <s v="M"/>
    <s v="25-34"/>
    <s v="Entry"/>
    <s v="M|Category C"/>
    <x v="1"/>
  </r>
  <r>
    <s v="EMP100"/>
    <x v="1"/>
    <n v="29"/>
    <s v="Category B"/>
    <s v="Marketing"/>
    <s v="Junior"/>
    <n v="425000"/>
    <n v="0"/>
    <n v="25"/>
    <s v="Active"/>
    <s v="F"/>
    <s v="25-34"/>
    <s v="Entry"/>
    <s v="F|Category B"/>
    <x v="1"/>
  </r>
  <r>
    <s v="EMP101"/>
    <x v="1"/>
    <n v="27"/>
    <s v="Category B"/>
    <s v="R&amp;D"/>
    <s v="Mid-Level"/>
    <n v="665000"/>
    <n v="1"/>
    <n v="36"/>
    <s v="Exited"/>
    <s v="F"/>
    <s v="25-34"/>
    <s v="Mid"/>
    <s v="F|Category B"/>
    <x v="0"/>
  </r>
  <r>
    <s v="EMP102"/>
    <x v="1"/>
    <n v="22"/>
    <s v="Category A"/>
    <s v="Customer Service"/>
    <s v="Entry"/>
    <n v="405000"/>
    <n v="1"/>
    <n v="12"/>
    <s v="Active"/>
    <s v="F"/>
    <s v="&lt;25"/>
    <s v="Entry"/>
    <s v="F|Category A"/>
    <x v="1"/>
  </r>
  <r>
    <s v="EMP103"/>
    <x v="1"/>
    <n v="32"/>
    <s v="Category D"/>
    <s v="R&amp;D"/>
    <s v="Mid-Level"/>
    <n v="955000"/>
    <n v="2"/>
    <n v="39"/>
    <s v="Exited"/>
    <s v="F"/>
    <s v="25-34"/>
    <s v="Mid"/>
    <s v="F|Category D"/>
    <x v="0"/>
  </r>
  <r>
    <s v="EMP104"/>
    <x v="0"/>
    <n v="36"/>
    <s v="Category A"/>
    <s v="Finance"/>
    <s v="Manager"/>
    <n v="1945000"/>
    <n v="0"/>
    <n v="65"/>
    <s v="Active"/>
    <s v="M"/>
    <s v="35-44"/>
    <s v="Leadership"/>
    <s v="M|Category A"/>
    <x v="0"/>
  </r>
  <r>
    <s v="EMP105"/>
    <x v="1"/>
    <n v="28"/>
    <s v="Category D"/>
    <s v="HR"/>
    <s v="Mid-Level"/>
    <n v="1000000"/>
    <n v="1"/>
    <n v="21"/>
    <s v="Active"/>
    <s v="F"/>
    <s v="25-34"/>
    <s v="Mid"/>
    <s v="F|Category D"/>
    <x v="0"/>
  </r>
  <r>
    <s v="EMP106"/>
    <x v="1"/>
    <n v="23"/>
    <s v="Category C"/>
    <s v="Marketing"/>
    <s v="Junior"/>
    <n v="555000"/>
    <n v="0"/>
    <n v="23"/>
    <s v="Active"/>
    <s v="F"/>
    <s v="&lt;25"/>
    <s v="Entry"/>
    <s v="F|Category C"/>
    <x v="1"/>
  </r>
  <r>
    <s v="EMP107"/>
    <x v="1"/>
    <n v="21"/>
    <s v="Category C"/>
    <s v="Sales"/>
    <s v="Entry"/>
    <n v="460000"/>
    <n v="1"/>
    <n v="27"/>
    <s v="Active"/>
    <s v="F"/>
    <s v="&lt;25"/>
    <s v="Entry"/>
    <s v="F|Category C"/>
    <x v="1"/>
  </r>
  <r>
    <s v="EMP108"/>
    <x v="0"/>
    <n v="31"/>
    <s v="Category B"/>
    <s v="Marketing"/>
    <s v="Mid-Level"/>
    <n v="840000"/>
    <n v="0"/>
    <n v="15"/>
    <s v="Exited"/>
    <s v="M"/>
    <s v="25-34"/>
    <s v="Mid"/>
    <s v="M|Category B"/>
    <x v="0"/>
  </r>
  <r>
    <s v="EMP109"/>
    <x v="0"/>
    <n v="23"/>
    <s v="Category B"/>
    <s v="Customer Service"/>
    <s v="Entry"/>
    <n v="455000"/>
    <n v="0"/>
    <n v="21"/>
    <s v="Active"/>
    <s v="M"/>
    <s v="&lt;25"/>
    <s v="Entry"/>
    <s v="M|Category B"/>
    <x v="1"/>
  </r>
  <r>
    <s v="EMP110"/>
    <x v="3"/>
    <n v="38"/>
    <s v="Category B"/>
    <s v="Customer Service"/>
    <s v="Manager"/>
    <n v="1550000"/>
    <n v="0"/>
    <n v="47"/>
    <s v="Active"/>
    <s v="Undisclosed"/>
    <s v="35-44"/>
    <s v="Leadership"/>
    <s v="Undisclosed|Category B"/>
    <x v="0"/>
  </r>
  <r>
    <s v="EMP111"/>
    <x v="1"/>
    <n v="23"/>
    <s v="Category C"/>
    <s v="Operations"/>
    <s v="Junior"/>
    <n v="660000"/>
    <n v="1"/>
    <n v="38"/>
    <s v="Active"/>
    <s v="F"/>
    <s v="&lt;25"/>
    <s v="Entry"/>
    <s v="F|Category C"/>
    <x v="1"/>
  </r>
  <r>
    <s v="EMP112"/>
    <x v="1"/>
    <n v="26"/>
    <s v="Category A"/>
    <s v="Finance"/>
    <s v="Junior"/>
    <n v="530000"/>
    <n v="1"/>
    <n v="33"/>
    <s v="Active"/>
    <s v="F"/>
    <s v="25-34"/>
    <s v="Entry"/>
    <s v="F|Category A"/>
    <x v="1"/>
  </r>
  <r>
    <s v="EMP113"/>
    <x v="1"/>
    <n v="36"/>
    <s v="Category A"/>
    <s v="IT"/>
    <s v="Manager"/>
    <n v="1625000"/>
    <n v="2"/>
    <n v="27"/>
    <s v="Active"/>
    <s v="F"/>
    <s v="35-44"/>
    <s v="Leadership"/>
    <s v="F|Category A"/>
    <x v="0"/>
  </r>
  <r>
    <s v="EMP114"/>
    <x v="3"/>
    <n v="29"/>
    <s v="Category B"/>
    <s v="IT"/>
    <s v="Junior"/>
    <n v="490000"/>
    <n v="0"/>
    <n v="35"/>
    <s v="Active"/>
    <s v="Undisclosed"/>
    <s v="25-34"/>
    <s v="Entry"/>
    <s v="Undisclosed|Category B"/>
    <x v="1"/>
  </r>
  <r>
    <s v="EMP115"/>
    <x v="0"/>
    <n v="35"/>
    <s v="Category A"/>
    <s v="Finance"/>
    <s v="Senior"/>
    <n v="1405000"/>
    <n v="3"/>
    <n v="38"/>
    <s v="Active"/>
    <s v="M"/>
    <s v="35-44"/>
    <s v="Senior"/>
    <s v="M|Category A"/>
    <x v="0"/>
  </r>
  <r>
    <s v="EMP116"/>
    <x v="1"/>
    <n v="22"/>
    <s v="Category B"/>
    <s v="Customer Service"/>
    <s v="Entry"/>
    <n v="475000"/>
    <n v="1"/>
    <n v="20"/>
    <s v="Exited"/>
    <s v="F"/>
    <s v="&lt;25"/>
    <s v="Entry"/>
    <s v="F|Category B"/>
    <x v="1"/>
  </r>
  <r>
    <s v="EMP117"/>
    <x v="0"/>
    <n v="25"/>
    <s v="Category B"/>
    <s v="Operations"/>
    <s v="Entry"/>
    <n v="330000"/>
    <n v="0"/>
    <n v="29"/>
    <s v="Active"/>
    <s v="M"/>
    <s v="25-34"/>
    <s v="Entry"/>
    <s v="M|Category B"/>
    <x v="1"/>
  </r>
  <r>
    <s v="EMP118"/>
    <x v="1"/>
    <n v="22"/>
    <s v="Category C"/>
    <s v="R&amp;D"/>
    <s v="Entry"/>
    <n v="425000"/>
    <n v="0"/>
    <n v="25"/>
    <s v="Active"/>
    <s v="F"/>
    <s v="&lt;25"/>
    <s v="Entry"/>
    <s v="F|Category C"/>
    <x v="1"/>
  </r>
  <r>
    <s v="EMP119"/>
    <x v="0"/>
    <n v="44"/>
    <s v="Prefer Not to Say"/>
    <s v="Finance"/>
    <s v="Manager"/>
    <n v="1980000"/>
    <n v="1"/>
    <n v="33"/>
    <s v="Active"/>
    <s v="M"/>
    <s v="35-44"/>
    <s v="Leadership"/>
    <s v="M|Prefer Not to Say"/>
    <x v="0"/>
  </r>
  <r>
    <s v="EMP120"/>
    <x v="1"/>
    <n v="25"/>
    <s v="Category D"/>
    <s v="Customer Service"/>
    <s v="Entry"/>
    <n v="335000"/>
    <n v="0"/>
    <n v="19"/>
    <s v="Active"/>
    <s v="F"/>
    <s v="25-34"/>
    <s v="Entry"/>
    <s v="F|Category D"/>
    <x v="1"/>
  </r>
  <r>
    <s v="EMP121"/>
    <x v="1"/>
    <n v="38"/>
    <s v="Category D"/>
    <s v="IT"/>
    <s v="Mid-Level"/>
    <n v="680000"/>
    <n v="2"/>
    <n v="21"/>
    <s v="Active"/>
    <s v="F"/>
    <s v="35-44"/>
    <s v="Mid"/>
    <s v="F|Category D"/>
    <x v="0"/>
  </r>
  <r>
    <s v="EMP122"/>
    <x v="0"/>
    <n v="23"/>
    <s v="Category C"/>
    <s v="Operations"/>
    <s v="Entry"/>
    <n v="355000"/>
    <n v="0"/>
    <n v="15"/>
    <s v="Exited"/>
    <s v="M"/>
    <s v="&lt;25"/>
    <s v="Entry"/>
    <s v="M|Category C"/>
    <x v="1"/>
  </r>
  <r>
    <s v="EMP123"/>
    <x v="0"/>
    <n v="23"/>
    <s v="Category C"/>
    <s v="HR"/>
    <s v="Entry"/>
    <n v="350000"/>
    <n v="1"/>
    <n v="22"/>
    <s v="Active"/>
    <s v="M"/>
    <s v="&lt;25"/>
    <s v="Entry"/>
    <s v="M|Category C"/>
    <x v="1"/>
  </r>
  <r>
    <s v="EMP124"/>
    <x v="1"/>
    <n v="23"/>
    <s v="Category C"/>
    <s v="Sales"/>
    <s v="Entry"/>
    <n v="365000"/>
    <n v="1"/>
    <n v="26"/>
    <s v="Active"/>
    <s v="F"/>
    <s v="&lt;25"/>
    <s v="Entry"/>
    <s v="F|Category C"/>
    <x v="1"/>
  </r>
  <r>
    <s v="EMP125"/>
    <x v="1"/>
    <n v="34"/>
    <s v="Category A"/>
    <s v="Marketing"/>
    <s v="Senior"/>
    <n v="1245000"/>
    <n v="2"/>
    <n v="58"/>
    <s v="Active"/>
    <s v="F"/>
    <s v="25-34"/>
    <s v="Senior"/>
    <s v="F|Category A"/>
    <x v="0"/>
  </r>
  <r>
    <s v="EMP126"/>
    <x v="0"/>
    <n v="29"/>
    <s v="Category D"/>
    <s v="Operations"/>
    <s v="Mid-Level"/>
    <n v="660000"/>
    <n v="1"/>
    <n v="16"/>
    <s v="Active"/>
    <s v="M"/>
    <s v="25-34"/>
    <s v="Mid"/>
    <s v="M|Category D"/>
    <x v="0"/>
  </r>
  <r>
    <s v="EMP127"/>
    <x v="1"/>
    <n v="23"/>
    <s v="Category B"/>
    <s v="Operations"/>
    <s v="Entry"/>
    <n v="315000"/>
    <n v="0"/>
    <n v="21"/>
    <s v="Active"/>
    <s v="F"/>
    <s v="&lt;25"/>
    <s v="Entry"/>
    <s v="F|Category B"/>
    <x v="1"/>
  </r>
  <r>
    <s v="EMP128"/>
    <x v="1"/>
    <n v="28"/>
    <s v="Category C"/>
    <s v="IT"/>
    <s v="Mid-Level"/>
    <n v="835000"/>
    <n v="1"/>
    <n v="17"/>
    <s v="Active"/>
    <s v="F"/>
    <s v="25-34"/>
    <s v="Mid"/>
    <s v="F|Category C"/>
    <x v="0"/>
  </r>
  <r>
    <s v="EMP129"/>
    <x v="0"/>
    <n v="27"/>
    <s v="Category C"/>
    <s v="R&amp;D"/>
    <s v="Mid-Level"/>
    <n v="630000"/>
    <n v="2"/>
    <n v="40"/>
    <s v="Active"/>
    <s v="M"/>
    <s v="25-34"/>
    <s v="Mid"/>
    <s v="M|Category C"/>
    <x v="0"/>
  </r>
  <r>
    <s v="EMP130"/>
    <x v="1"/>
    <n v="21"/>
    <s v="Category C"/>
    <s v="Operations"/>
    <s v="Entry"/>
    <n v="385000"/>
    <n v="0"/>
    <n v="10"/>
    <s v="Active"/>
    <s v="F"/>
    <s v="&lt;25"/>
    <s v="Entry"/>
    <s v="F|Category C"/>
    <x v="1"/>
  </r>
  <r>
    <s v="EMP131"/>
    <x v="1"/>
    <n v="31"/>
    <s v="Category A"/>
    <s v="Sales"/>
    <s v="Junior"/>
    <n v="555000"/>
    <n v="0"/>
    <n v="29"/>
    <s v="Active"/>
    <s v="F"/>
    <s v="25-34"/>
    <s v="Entry"/>
    <s v="F|Category A"/>
    <x v="1"/>
  </r>
  <r>
    <s v="EMP132"/>
    <x v="1"/>
    <n v="30"/>
    <s v="Category B"/>
    <s v="Operations"/>
    <s v="Mid-Level"/>
    <n v="815000"/>
    <n v="0"/>
    <n v="44"/>
    <s v="Active"/>
    <s v="F"/>
    <s v="25-34"/>
    <s v="Mid"/>
    <s v="F|Category B"/>
    <x v="0"/>
  </r>
  <r>
    <s v="EMP133"/>
    <x v="1"/>
    <n v="36"/>
    <s v="Category A"/>
    <s v="Finance"/>
    <s v="Senior"/>
    <n v="1060000"/>
    <n v="1"/>
    <n v="50"/>
    <s v="Active"/>
    <s v="F"/>
    <s v="35-44"/>
    <s v="Senior"/>
    <s v="F|Category A"/>
    <x v="0"/>
  </r>
  <r>
    <s v="EMP134"/>
    <x v="1"/>
    <n v="36"/>
    <s v="Category C"/>
    <s v="Customer Service"/>
    <s v="Senior"/>
    <n v="1035000"/>
    <n v="1"/>
    <n v="57"/>
    <s v="Exited"/>
    <s v="F"/>
    <s v="35-44"/>
    <s v="Senior"/>
    <s v="F|Category C"/>
    <x v="0"/>
  </r>
  <r>
    <s v="EMP135"/>
    <x v="0"/>
    <n v="29"/>
    <s v="Category B"/>
    <s v="Marketing"/>
    <s v="Junior"/>
    <n v="425000"/>
    <n v="1"/>
    <n v="29"/>
    <s v="Active"/>
    <s v="M"/>
    <s v="25-34"/>
    <s v="Entry"/>
    <s v="M|Category B"/>
    <x v="1"/>
  </r>
  <r>
    <s v="EMP136"/>
    <x v="1"/>
    <n v="34"/>
    <s v="Category C"/>
    <s v="Customer Service"/>
    <s v="Senior"/>
    <n v="1015000"/>
    <n v="0"/>
    <n v="55"/>
    <s v="Active"/>
    <s v="F"/>
    <s v="25-34"/>
    <s v="Senior"/>
    <s v="F|Category C"/>
    <x v="0"/>
  </r>
  <r>
    <s v="EMP137"/>
    <x v="0"/>
    <n v="43"/>
    <s v="Category C"/>
    <s v="Operations"/>
    <s v="Senior"/>
    <n v="1485000"/>
    <n v="0"/>
    <n v="37"/>
    <s v="Active"/>
    <s v="M"/>
    <s v="35-44"/>
    <s v="Senior"/>
    <s v="M|Category C"/>
    <x v="0"/>
  </r>
  <r>
    <s v="EMP138"/>
    <x v="1"/>
    <n v="25"/>
    <s v="Prefer Not to Say"/>
    <s v="Finance"/>
    <s v="Junior"/>
    <n v="475000"/>
    <n v="0"/>
    <n v="22"/>
    <s v="Active"/>
    <s v="F"/>
    <s v="25-34"/>
    <s v="Entry"/>
    <s v="F|Prefer Not to Say"/>
    <x v="1"/>
  </r>
  <r>
    <s v="EMP139"/>
    <x v="0"/>
    <n v="34"/>
    <s v="Category B"/>
    <s v="Finance"/>
    <s v="Senior"/>
    <n v="1295000"/>
    <n v="1"/>
    <n v="41"/>
    <s v="Active"/>
    <s v="M"/>
    <s v="25-34"/>
    <s v="Senior"/>
    <s v="M|Category B"/>
    <x v="0"/>
  </r>
  <r>
    <s v="EMP140"/>
    <x v="0"/>
    <n v="39"/>
    <s v="Category C"/>
    <s v="R&amp;D"/>
    <s v="Manager"/>
    <n v="1465000"/>
    <n v="2"/>
    <n v="28"/>
    <s v="Active"/>
    <s v="M"/>
    <s v="35-44"/>
    <s v="Leadership"/>
    <s v="M|Category C"/>
    <x v="0"/>
  </r>
  <r>
    <s v="EMP141"/>
    <x v="0"/>
    <n v="33"/>
    <s v="Category B"/>
    <s v="R&amp;D"/>
    <s v="Mid-Level"/>
    <n v="745000"/>
    <n v="0"/>
    <n v="47"/>
    <s v="Active"/>
    <s v="M"/>
    <s v="25-34"/>
    <s v="Mid"/>
    <s v="M|Category B"/>
    <x v="0"/>
  </r>
  <r>
    <s v="EMP142"/>
    <x v="0"/>
    <n v="31"/>
    <s v="Category A"/>
    <s v="Marketing"/>
    <s v="Mid-Level"/>
    <n v="625000"/>
    <n v="0"/>
    <n v="18"/>
    <s v="Active"/>
    <s v="M"/>
    <s v="25-34"/>
    <s v="Mid"/>
    <s v="M|Category A"/>
    <x v="0"/>
  </r>
  <r>
    <s v="EMP143"/>
    <x v="0"/>
    <n v="35"/>
    <s v="Category B"/>
    <s v="Sales"/>
    <s v="Senior"/>
    <n v="1245000"/>
    <n v="0"/>
    <n v="51"/>
    <s v="Active"/>
    <s v="M"/>
    <s v="35-44"/>
    <s v="Senior"/>
    <s v="M|Category B"/>
    <x v="0"/>
  </r>
  <r>
    <s v="EMP144"/>
    <x v="0"/>
    <n v="37"/>
    <s v="Category A"/>
    <s v="Operations"/>
    <s v="Mid-Level"/>
    <n v="785000"/>
    <n v="0"/>
    <n v="17"/>
    <s v="Active"/>
    <s v="M"/>
    <s v="35-44"/>
    <s v="Mid"/>
    <s v="M|Category A"/>
    <x v="0"/>
  </r>
  <r>
    <s v="EMP145"/>
    <x v="0"/>
    <n v="36"/>
    <s v="Category D"/>
    <s v="Marketing"/>
    <s v="Mid-Level"/>
    <n v="810000"/>
    <n v="1"/>
    <n v="41"/>
    <s v="Active"/>
    <s v="M"/>
    <s v="35-44"/>
    <s v="Mid"/>
    <s v="M|Category D"/>
    <x v="0"/>
  </r>
  <r>
    <s v="EMP146"/>
    <x v="1"/>
    <n v="40"/>
    <s v="Category A"/>
    <s v="Customer Service"/>
    <s v="Senior"/>
    <n v="1380000"/>
    <n v="2"/>
    <n v="43"/>
    <s v="Active"/>
    <s v="F"/>
    <s v="35-44"/>
    <s v="Senior"/>
    <s v="F|Category A"/>
    <x v="0"/>
  </r>
  <r>
    <s v="EMP147"/>
    <x v="0"/>
    <n v="33"/>
    <s v="Category B"/>
    <s v="Finance"/>
    <s v="Mid-Level"/>
    <n v="765000"/>
    <n v="1"/>
    <n v="29"/>
    <s v="Active"/>
    <s v="M"/>
    <s v="25-34"/>
    <s v="Mid"/>
    <s v="M|Category B"/>
    <x v="0"/>
  </r>
  <r>
    <s v="EMP148"/>
    <x v="0"/>
    <n v="30"/>
    <s v="Category A"/>
    <s v="Marketing"/>
    <s v="Mid-Level"/>
    <n v="785000"/>
    <n v="0"/>
    <n v="24"/>
    <s v="Active"/>
    <s v="M"/>
    <s v="25-34"/>
    <s v="Mid"/>
    <s v="M|Category A"/>
    <x v="0"/>
  </r>
  <r>
    <s v="EMP149"/>
    <x v="1"/>
    <n v="41"/>
    <s v="Category C"/>
    <s v="R&amp;D"/>
    <s v="Senior"/>
    <n v="980000"/>
    <n v="0"/>
    <n v="60"/>
    <s v="Active"/>
    <s v="F"/>
    <s v="35-44"/>
    <s v="Senior"/>
    <s v="F|Category C"/>
    <x v="0"/>
  </r>
  <r>
    <s v="EMP150"/>
    <x v="3"/>
    <n v="45"/>
    <s v="Category B"/>
    <s v="R&amp;D"/>
    <s v="Senior"/>
    <n v="1490000"/>
    <n v="1"/>
    <n v="59"/>
    <s v="Active"/>
    <s v="Undisclosed"/>
    <s v="45-54"/>
    <s v="Senior"/>
    <s v="Undisclosed|Category B"/>
    <x v="0"/>
  </r>
  <r>
    <s v="EMP151"/>
    <x v="0"/>
    <n v="24"/>
    <s v="Category A"/>
    <s v="R&amp;D"/>
    <s v="Entry"/>
    <n v="465000"/>
    <n v="0"/>
    <n v="16"/>
    <s v="Active"/>
    <s v="M"/>
    <s v="&lt;25"/>
    <s v="Entry"/>
    <s v="M|Category A"/>
    <x v="1"/>
  </r>
  <r>
    <s v="EMP152"/>
    <x v="3"/>
    <n v="27"/>
    <s v="Category A"/>
    <s v="Customer Service"/>
    <s v="Mid-Level"/>
    <n v="795000"/>
    <n v="1"/>
    <n v="19"/>
    <s v="Active"/>
    <s v="Undisclosed"/>
    <s v="25-34"/>
    <s v="Mid"/>
    <s v="Undisclosed|Category A"/>
    <x v="0"/>
  </r>
  <r>
    <s v="EMP153"/>
    <x v="1"/>
    <n v="35"/>
    <s v="Category A"/>
    <s v="R&amp;D"/>
    <s v="Mid-Level"/>
    <n v="985000"/>
    <n v="2"/>
    <n v="43"/>
    <s v="Exited"/>
    <s v="F"/>
    <s v="35-44"/>
    <s v="Mid"/>
    <s v="F|Category A"/>
    <x v="0"/>
  </r>
  <r>
    <s v="EMP154"/>
    <x v="0"/>
    <n v="27"/>
    <s v="Category C"/>
    <s v="HR"/>
    <s v="Mid-Level"/>
    <n v="835000"/>
    <n v="0"/>
    <n v="36"/>
    <s v="Exited"/>
    <s v="M"/>
    <s v="25-34"/>
    <s v="Mid"/>
    <s v="M|Category C"/>
    <x v="0"/>
  </r>
  <r>
    <s v="EMP155"/>
    <x v="0"/>
    <n v="30"/>
    <s v="Category B"/>
    <s v="Customer Service"/>
    <s v="Junior"/>
    <n v="630000"/>
    <n v="0"/>
    <n v="29"/>
    <s v="Active"/>
    <s v="M"/>
    <s v="25-34"/>
    <s v="Entry"/>
    <s v="M|Category B"/>
    <x v="1"/>
  </r>
  <r>
    <s v="EMP156"/>
    <x v="0"/>
    <n v="41"/>
    <s v="Category C"/>
    <s v="IT"/>
    <s v="Senior"/>
    <n v="955000"/>
    <n v="2"/>
    <n v="41"/>
    <s v="Active"/>
    <s v="M"/>
    <s v="35-44"/>
    <s v="Senior"/>
    <s v="M|Category C"/>
    <x v="0"/>
  </r>
  <r>
    <s v="EMP157"/>
    <x v="0"/>
    <n v="25"/>
    <s v="Category D"/>
    <s v="Customer Service"/>
    <s v="Junior"/>
    <n v="575000"/>
    <n v="0"/>
    <n v="31"/>
    <s v="Active"/>
    <s v="M"/>
    <s v="25-34"/>
    <s v="Entry"/>
    <s v="M|Category D"/>
    <x v="1"/>
  </r>
  <r>
    <s v="EMP158"/>
    <x v="0"/>
    <n v="26"/>
    <s v="Category A"/>
    <s v="Finance"/>
    <s v="Entry"/>
    <n v="320000"/>
    <n v="0"/>
    <n v="20"/>
    <s v="Active"/>
    <s v="M"/>
    <s v="25-34"/>
    <s v="Entry"/>
    <s v="M|Category A"/>
    <x v="1"/>
  </r>
  <r>
    <s v="EMP159"/>
    <x v="2"/>
    <n v="33"/>
    <s v="Category B"/>
    <s v="R&amp;D"/>
    <s v="Mid-Level"/>
    <n v="865000"/>
    <n v="0"/>
    <n v="38"/>
    <s v="Active"/>
    <s v="Other"/>
    <s v="25-34"/>
    <s v="Mid"/>
    <s v="Other|Category B"/>
    <x v="0"/>
  </r>
  <r>
    <s v="EMP160"/>
    <x v="1"/>
    <n v="25"/>
    <s v="Category B"/>
    <s v="HR"/>
    <s v="Junior"/>
    <n v="480000"/>
    <n v="0"/>
    <n v="37"/>
    <s v="Active"/>
    <s v="F"/>
    <s v="25-34"/>
    <s v="Entry"/>
    <s v="F|Category B"/>
    <x v="1"/>
  </r>
  <r>
    <s v="EMP161"/>
    <x v="1"/>
    <n v="45"/>
    <s v="Category C"/>
    <s v="Marketing"/>
    <s v="Senior"/>
    <n v="1035000"/>
    <n v="1"/>
    <n v="29"/>
    <s v="Active"/>
    <s v="F"/>
    <s v="45-54"/>
    <s v="Senior"/>
    <s v="F|Category C"/>
    <x v="0"/>
  </r>
  <r>
    <s v="EMP162"/>
    <x v="1"/>
    <n v="31"/>
    <s v="Category C"/>
    <s v="R&amp;D"/>
    <s v="Senior"/>
    <n v="1330000"/>
    <n v="0"/>
    <n v="35"/>
    <s v="Exited"/>
    <s v="F"/>
    <s v="25-34"/>
    <s v="Senior"/>
    <s v="F|Category C"/>
    <x v="0"/>
  </r>
  <r>
    <s v="EMP163"/>
    <x v="1"/>
    <n v="26"/>
    <s v="Category B"/>
    <s v="R&amp;D"/>
    <s v="Junior"/>
    <n v="560000"/>
    <n v="1"/>
    <n v="35"/>
    <s v="Active"/>
    <s v="F"/>
    <s v="25-34"/>
    <s v="Entry"/>
    <s v="F|Category B"/>
    <x v="1"/>
  </r>
  <r>
    <s v="EMP164"/>
    <x v="1"/>
    <n v="31"/>
    <s v="Category D"/>
    <s v="Marketing"/>
    <s v="Mid-Level"/>
    <n v="800000"/>
    <n v="1"/>
    <n v="41"/>
    <s v="Exited"/>
    <s v="F"/>
    <s v="25-34"/>
    <s v="Mid"/>
    <s v="F|Category D"/>
    <x v="0"/>
  </r>
  <r>
    <s v="EMP165"/>
    <x v="0"/>
    <n v="36"/>
    <s v="Category D"/>
    <s v="Finance"/>
    <s v="Manager"/>
    <n v="1970000"/>
    <n v="1"/>
    <n v="48"/>
    <s v="Active"/>
    <s v="M"/>
    <s v="35-44"/>
    <s v="Leadership"/>
    <s v="M|Category D"/>
    <x v="0"/>
  </r>
  <r>
    <s v="EMP166"/>
    <x v="0"/>
    <n v="25"/>
    <s v="Category D"/>
    <s v="Sales"/>
    <s v="Junior"/>
    <n v="545000"/>
    <n v="0"/>
    <n v="26"/>
    <s v="Active"/>
    <s v="M"/>
    <s v="25-34"/>
    <s v="Entry"/>
    <s v="M|Category D"/>
    <x v="1"/>
  </r>
  <r>
    <s v="EMP167"/>
    <x v="1"/>
    <n v="45"/>
    <s v="Category A"/>
    <s v="Finance"/>
    <s v="Senior"/>
    <n v="1265000"/>
    <n v="3"/>
    <n v="46"/>
    <s v="Active"/>
    <s v="F"/>
    <s v="45-54"/>
    <s v="Senior"/>
    <s v="F|Category A"/>
    <x v="0"/>
  </r>
  <r>
    <s v="EMP168"/>
    <x v="0"/>
    <n v="23"/>
    <s v="Category A"/>
    <s v="HR"/>
    <s v="Junior"/>
    <n v="565000"/>
    <n v="1"/>
    <n v="36"/>
    <s v="Active"/>
    <s v="M"/>
    <s v="&lt;25"/>
    <s v="Entry"/>
    <s v="M|Category A"/>
    <x v="1"/>
  </r>
  <r>
    <s v="EMP169"/>
    <x v="0"/>
    <n v="30"/>
    <s v="Category A"/>
    <s v="IT"/>
    <s v="Junior"/>
    <n v="475000"/>
    <n v="1"/>
    <n v="25"/>
    <s v="Active"/>
    <s v="M"/>
    <s v="25-34"/>
    <s v="Entry"/>
    <s v="M|Category A"/>
    <x v="1"/>
  </r>
  <r>
    <s v="EMP170"/>
    <x v="0"/>
    <n v="25"/>
    <s v="Category B"/>
    <s v="IT"/>
    <s v="Junior"/>
    <n v="690000"/>
    <n v="1"/>
    <n v="29"/>
    <s v="Active"/>
    <s v="M"/>
    <s v="25-34"/>
    <s v="Entry"/>
    <s v="M|Category B"/>
    <x v="1"/>
  </r>
  <r>
    <s v="EMP171"/>
    <x v="0"/>
    <n v="22"/>
    <s v="Category D"/>
    <s v="HR"/>
    <s v="Entry"/>
    <n v="410000"/>
    <n v="0"/>
    <n v="27"/>
    <s v="Active"/>
    <s v="M"/>
    <s v="&lt;25"/>
    <s v="Entry"/>
    <s v="M|Category D"/>
    <x v="1"/>
  </r>
  <r>
    <s v="EMP172"/>
    <x v="1"/>
    <n v="36"/>
    <s v="Category A"/>
    <s v="Customer Service"/>
    <s v="Mid-Level"/>
    <n v="725000"/>
    <n v="1"/>
    <n v="33"/>
    <s v="Active"/>
    <s v="F"/>
    <s v="35-44"/>
    <s v="Mid"/>
    <s v="F|Category A"/>
    <x v="0"/>
  </r>
  <r>
    <s v="EMP173"/>
    <x v="1"/>
    <n v="24"/>
    <s v="Category D"/>
    <s v="HR"/>
    <s v="Junior"/>
    <n v="675000"/>
    <n v="1"/>
    <n v="12"/>
    <s v="Exited"/>
    <s v="F"/>
    <s v="&lt;25"/>
    <s v="Entry"/>
    <s v="F|Category D"/>
    <x v="1"/>
  </r>
  <r>
    <s v="EMP174"/>
    <x v="0"/>
    <n v="30"/>
    <s v="Category D"/>
    <s v="Operations"/>
    <s v="Junior"/>
    <n v="425000"/>
    <n v="0"/>
    <n v="21"/>
    <s v="Active"/>
    <s v="M"/>
    <s v="25-34"/>
    <s v="Entry"/>
    <s v="M|Category D"/>
    <x v="1"/>
  </r>
  <r>
    <s v="EMP175"/>
    <x v="1"/>
    <n v="24"/>
    <s v="Category A"/>
    <s v="R&amp;D"/>
    <s v="Junior"/>
    <n v="575000"/>
    <n v="0"/>
    <n v="21"/>
    <s v="Active"/>
    <s v="F"/>
    <s v="&lt;25"/>
    <s v="Entry"/>
    <s v="F|Category A"/>
    <x v="1"/>
  </r>
  <r>
    <s v="EMP176"/>
    <x v="1"/>
    <n v="55"/>
    <s v="Category B"/>
    <s v="IT"/>
    <s v="Senior Manager"/>
    <n v="2460000"/>
    <n v="0"/>
    <n v="38"/>
    <s v="Active"/>
    <s v="F"/>
    <s v="55+"/>
    <s v="Leadership"/>
    <s v="F|Category B"/>
    <x v="0"/>
  </r>
  <r>
    <s v="EMP177"/>
    <x v="3"/>
    <n v="26"/>
    <s v="Category B"/>
    <s v="IT"/>
    <s v="Junior"/>
    <n v="420000"/>
    <n v="0"/>
    <n v="19"/>
    <s v="Active"/>
    <s v="Undisclosed"/>
    <s v="25-34"/>
    <s v="Entry"/>
    <s v="Undisclosed|Category B"/>
    <x v="1"/>
  </r>
  <r>
    <s v="EMP178"/>
    <x v="0"/>
    <n v="26"/>
    <s v="Category A"/>
    <s v="Operations"/>
    <s v="Entry"/>
    <n v="350000"/>
    <n v="0"/>
    <n v="9"/>
    <s v="Exited"/>
    <s v="M"/>
    <s v="25-34"/>
    <s v="Entry"/>
    <s v="M|Category A"/>
    <x v="1"/>
  </r>
  <r>
    <s v="EMP179"/>
    <x v="0"/>
    <n v="33"/>
    <s v="Category C"/>
    <s v="Operations"/>
    <s v="Mid-Level"/>
    <n v="990000"/>
    <n v="0"/>
    <n v="39"/>
    <s v="Active"/>
    <s v="M"/>
    <s v="25-34"/>
    <s v="Mid"/>
    <s v="M|Category C"/>
    <x v="0"/>
  </r>
  <r>
    <s v="EMP180"/>
    <x v="1"/>
    <n v="51"/>
    <s v="Category D"/>
    <s v="IT"/>
    <s v="Manager"/>
    <n v="1580000"/>
    <n v="2"/>
    <n v="52"/>
    <s v="Active"/>
    <s v="F"/>
    <s v="45-54"/>
    <s v="Leadership"/>
    <s v="F|Category D"/>
    <x v="0"/>
  </r>
  <r>
    <s v="EMP181"/>
    <x v="1"/>
    <n v="24"/>
    <s v="Category A"/>
    <s v="R&amp;D"/>
    <s v="Junior"/>
    <n v="570000"/>
    <n v="0"/>
    <n v="19"/>
    <s v="Active"/>
    <s v="F"/>
    <s v="&lt;25"/>
    <s v="Entry"/>
    <s v="F|Category A"/>
    <x v="1"/>
  </r>
  <r>
    <s v="EMP182"/>
    <x v="3"/>
    <n v="23"/>
    <s v="Category D"/>
    <s v="Finance"/>
    <s v="Junior"/>
    <n v="585000"/>
    <n v="0"/>
    <n v="23"/>
    <s v="Active"/>
    <s v="Undisclosed"/>
    <s v="&lt;25"/>
    <s v="Entry"/>
    <s v="Undisclosed|Category D"/>
    <x v="1"/>
  </r>
  <r>
    <s v="EMP183"/>
    <x v="0"/>
    <n v="37"/>
    <s v="Category C"/>
    <s v="R&amp;D"/>
    <s v="Senior"/>
    <n v="1280000"/>
    <n v="1"/>
    <n v="30"/>
    <s v="Exited"/>
    <s v="M"/>
    <s v="35-44"/>
    <s v="Senior"/>
    <s v="M|Category C"/>
    <x v="0"/>
  </r>
  <r>
    <s v="EMP184"/>
    <x v="2"/>
    <n v="21"/>
    <s v="Category A"/>
    <s v="Marketing"/>
    <s v="Entry"/>
    <n v="360000"/>
    <n v="1"/>
    <n v="19"/>
    <s v="Active"/>
    <s v="Other"/>
    <s v="&lt;25"/>
    <s v="Entry"/>
    <s v="Other|Category A"/>
    <x v="1"/>
  </r>
  <r>
    <s v="EMP185"/>
    <x v="1"/>
    <n v="36"/>
    <s v="Category B"/>
    <s v="IT"/>
    <s v="Senior"/>
    <n v="1290000"/>
    <n v="1"/>
    <n v="24"/>
    <s v="Active"/>
    <s v="F"/>
    <s v="35-44"/>
    <s v="Senior"/>
    <s v="F|Category B"/>
    <x v="0"/>
  </r>
  <r>
    <s v="EMP186"/>
    <x v="1"/>
    <n v="24"/>
    <s v="Category A"/>
    <s v="IT"/>
    <s v="Junior"/>
    <n v="415000"/>
    <n v="1"/>
    <n v="25"/>
    <s v="Active"/>
    <s v="F"/>
    <s v="&lt;25"/>
    <s v="Entry"/>
    <s v="F|Category A"/>
    <x v="1"/>
  </r>
  <r>
    <s v="EMP187"/>
    <x v="0"/>
    <n v="34"/>
    <s v="Category A"/>
    <s v="Marketing"/>
    <s v="Senior"/>
    <n v="1200000"/>
    <n v="1"/>
    <n v="51"/>
    <s v="Active"/>
    <s v="M"/>
    <s v="25-34"/>
    <s v="Senior"/>
    <s v="M|Category A"/>
    <x v="0"/>
  </r>
  <r>
    <s v="EMP188"/>
    <x v="1"/>
    <n v="49"/>
    <s v="Category B"/>
    <s v="IT"/>
    <s v="Manager"/>
    <n v="1390000"/>
    <n v="2"/>
    <n v="45"/>
    <s v="Active"/>
    <s v="F"/>
    <s v="45-54"/>
    <s v="Leadership"/>
    <s v="F|Category B"/>
    <x v="0"/>
  </r>
  <r>
    <s v="EMP189"/>
    <x v="0"/>
    <n v="40"/>
    <s v="Category A"/>
    <s v="Marketing"/>
    <s v="Manager"/>
    <n v="1970000"/>
    <n v="0"/>
    <n v="48"/>
    <s v="Active"/>
    <s v="M"/>
    <s v="35-44"/>
    <s v="Leadership"/>
    <s v="M|Category A"/>
    <x v="0"/>
  </r>
  <r>
    <s v="EMP190"/>
    <x v="1"/>
    <n v="30"/>
    <s v="Category C"/>
    <s v="Finance"/>
    <s v="Junior"/>
    <n v="415000"/>
    <n v="0"/>
    <n v="28"/>
    <s v="Active"/>
    <s v="F"/>
    <s v="25-34"/>
    <s v="Entry"/>
    <s v="F|Category C"/>
    <x v="1"/>
  </r>
  <r>
    <s v="EMP191"/>
    <x v="0"/>
    <n v="24"/>
    <s v="Category C"/>
    <s v="Marketing"/>
    <s v="Entry"/>
    <n v="490000"/>
    <n v="1"/>
    <n v="24"/>
    <s v="Active"/>
    <s v="M"/>
    <s v="&lt;25"/>
    <s v="Entry"/>
    <s v="M|Category C"/>
    <x v="1"/>
  </r>
  <r>
    <s v="EMP192"/>
    <x v="0"/>
    <n v="60"/>
    <s v="Category D"/>
    <s v="Marketing"/>
    <s v="Senior Manager"/>
    <n v="1880000"/>
    <n v="1"/>
    <n v="73"/>
    <s v="Active"/>
    <s v="M"/>
    <s v="55+"/>
    <s v="Leadership"/>
    <s v="M|Category D"/>
    <x v="0"/>
  </r>
  <r>
    <s v="EMP193"/>
    <x v="1"/>
    <n v="33"/>
    <s v="Category B"/>
    <s v="Marketing"/>
    <s v="Senior"/>
    <n v="1355000"/>
    <n v="1"/>
    <n v="23"/>
    <s v="Active"/>
    <s v="F"/>
    <s v="25-34"/>
    <s v="Senior"/>
    <s v="F|Category B"/>
    <x v="0"/>
  </r>
  <r>
    <s v="EMP194"/>
    <x v="1"/>
    <n v="26"/>
    <s v="Category A"/>
    <s v="IT"/>
    <s v="Junior"/>
    <n v="580000"/>
    <n v="1"/>
    <n v="26"/>
    <s v="Exited"/>
    <s v="F"/>
    <s v="25-34"/>
    <s v="Entry"/>
    <s v="F|Category A"/>
    <x v="1"/>
  </r>
  <r>
    <s v="EMP195"/>
    <x v="1"/>
    <n v="23"/>
    <s v="Category C"/>
    <s v="Marketing"/>
    <s v="Entry"/>
    <n v="460000"/>
    <n v="0"/>
    <n v="24"/>
    <s v="Active"/>
    <s v="F"/>
    <s v="&lt;25"/>
    <s v="Entry"/>
    <s v="F|Category C"/>
    <x v="1"/>
  </r>
  <r>
    <s v="EMP196"/>
    <x v="1"/>
    <n v="42"/>
    <s v="Category A"/>
    <s v="IT"/>
    <s v="Senior"/>
    <n v="1255000"/>
    <n v="2"/>
    <n v="56"/>
    <s v="Active"/>
    <s v="F"/>
    <s v="35-44"/>
    <s v="Senior"/>
    <s v="F|Category A"/>
    <x v="0"/>
  </r>
  <r>
    <s v="EMP197"/>
    <x v="1"/>
    <n v="43"/>
    <s v="Category B"/>
    <s v="IT"/>
    <s v="Senior"/>
    <n v="1500000"/>
    <n v="1"/>
    <n v="60"/>
    <s v="Active"/>
    <s v="F"/>
    <s v="35-44"/>
    <s v="Senior"/>
    <s v="F|Category B"/>
    <x v="0"/>
  </r>
  <r>
    <s v="EMP198"/>
    <x v="0"/>
    <n v="37"/>
    <s v="Category B"/>
    <s v="R&amp;D"/>
    <s v="Mid-Level"/>
    <n v="815000"/>
    <n v="0"/>
    <n v="19"/>
    <s v="Active"/>
    <s v="M"/>
    <s v="35-44"/>
    <s v="Mid"/>
    <s v="M|Category B"/>
    <x v="0"/>
  </r>
  <r>
    <s v="EMP199"/>
    <x v="1"/>
    <n v="25"/>
    <s v="Prefer Not to Say"/>
    <s v="Marketing"/>
    <s v="Junior"/>
    <n v="565000"/>
    <n v="1"/>
    <n v="20"/>
    <s v="Active"/>
    <s v="F"/>
    <s v="25-34"/>
    <s v="Entry"/>
    <s v="F|Prefer Not to Say"/>
    <x v="1"/>
  </r>
  <r>
    <s v="EMP200"/>
    <x v="0"/>
    <n v="39"/>
    <s v="Category A"/>
    <s v="Finance"/>
    <s v="Senior"/>
    <n v="1490000"/>
    <n v="0"/>
    <n v="35"/>
    <s v="Active"/>
    <s v="M"/>
    <s v="35-44"/>
    <s v="Senior"/>
    <s v="M|Category A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1">
  <r>
    <s v="EMP001"/>
    <x v="0"/>
    <n v="27"/>
    <s v="Category C"/>
    <s v="Finance"/>
    <s v="Mid-Level"/>
    <n v="990000"/>
    <x v="0"/>
    <n v="29"/>
    <s v="Active"/>
    <s v="M"/>
    <s v="25-34"/>
    <s v="Mid"/>
    <s v="M|Category C"/>
    <x v="0"/>
  </r>
  <r>
    <s v="EMP002"/>
    <x v="0"/>
    <n v="27"/>
    <s v="Category A"/>
    <s v="Customer Service"/>
    <s v="Mid-Level"/>
    <n v="615000"/>
    <x v="0"/>
    <n v="29"/>
    <s v="Active"/>
    <s v="M"/>
    <s v="25-34"/>
    <s v="Mid"/>
    <s v="M|Category A"/>
    <x v="0"/>
  </r>
  <r>
    <s v="EMP003"/>
    <x v="0"/>
    <n v="27"/>
    <s v="Category A"/>
    <s v="Operations"/>
    <s v="Junior"/>
    <n v="405000"/>
    <x v="1"/>
    <n v="15"/>
    <s v="Active"/>
    <s v="M"/>
    <s v="25-34"/>
    <s v="Entry"/>
    <s v="M|Category A"/>
    <x v="1"/>
  </r>
  <r>
    <s v="EMP004"/>
    <x v="1"/>
    <n v="24"/>
    <s v="Category C"/>
    <s v="Finance"/>
    <s v="Entry"/>
    <n v="325000"/>
    <x v="0"/>
    <n v="19"/>
    <s v="Active"/>
    <s v="F"/>
    <s v="&lt;25"/>
    <s v="Entry"/>
    <s v="F|Category C"/>
    <x v="1"/>
  </r>
  <r>
    <s v="EMP005"/>
    <x v="1"/>
    <n v="52"/>
    <s v="Category C"/>
    <s v="Finance"/>
    <s v="Senior Manager"/>
    <n v="1885000"/>
    <x v="1"/>
    <n v="70"/>
    <s v="Active"/>
    <s v="F"/>
    <s v="45-54"/>
    <s v="Leadership"/>
    <s v="F|Category C"/>
    <x v="0"/>
  </r>
  <r>
    <s v="EMP006"/>
    <x v="0"/>
    <n v="22"/>
    <s v="Category B"/>
    <s v="Operations"/>
    <s v="Entry"/>
    <n v="375000"/>
    <x v="1"/>
    <n v="15"/>
    <s v="Exited"/>
    <s v="M"/>
    <s v="&lt;25"/>
    <s v="Entry"/>
    <s v="M|Category B"/>
    <x v="1"/>
  </r>
  <r>
    <s v="EMP007"/>
    <x v="1"/>
    <n v="23"/>
    <s v="Category C"/>
    <s v="Marketing"/>
    <s v="Entry"/>
    <n v="355000"/>
    <x v="1"/>
    <n v="30"/>
    <s v="Exited"/>
    <s v="F"/>
    <s v="&lt;25"/>
    <s v="Entry"/>
    <s v="F|Category C"/>
    <x v="1"/>
  </r>
  <r>
    <s v="EMP008"/>
    <x v="1"/>
    <n v="30"/>
    <s v="Category C"/>
    <s v="Operations"/>
    <s v="Mid-Level"/>
    <n v="685000"/>
    <x v="0"/>
    <n v="32"/>
    <s v="Exited"/>
    <s v="F"/>
    <s v="25-34"/>
    <s v="Mid"/>
    <s v="F|Category C"/>
    <x v="0"/>
  </r>
  <r>
    <s v="EMP009"/>
    <x v="0"/>
    <n v="43"/>
    <s v="Category A"/>
    <s v="Operations"/>
    <s v="Senior"/>
    <n v="960000"/>
    <x v="0"/>
    <n v="22"/>
    <s v="Active"/>
    <s v="M"/>
    <s v="35-44"/>
    <s v="Senior"/>
    <s v="M|Category A"/>
    <x v="0"/>
  </r>
  <r>
    <s v="EMP010"/>
    <x v="0"/>
    <n v="30"/>
    <s v="Category A"/>
    <s v="IT"/>
    <s v="Junior"/>
    <n v="605000"/>
    <x v="1"/>
    <n v="30"/>
    <s v="Active"/>
    <s v="M"/>
    <s v="25-34"/>
    <s v="Entry"/>
    <s v="M|Category A"/>
    <x v="1"/>
  </r>
  <r>
    <s v="EMP011"/>
    <x v="0"/>
    <n v="37"/>
    <s v="Category A"/>
    <s v="Finance"/>
    <s v="Senior"/>
    <n v="1320000"/>
    <x v="0"/>
    <n v="28"/>
    <s v="Active"/>
    <s v="M"/>
    <s v="35-44"/>
    <s v="Senior"/>
    <s v="M|Category A"/>
    <x v="0"/>
  </r>
  <r>
    <s v="EMP012"/>
    <x v="1"/>
    <n v="22"/>
    <s v="Category B"/>
    <s v="IT"/>
    <s v="Entry"/>
    <n v="480000"/>
    <x v="0"/>
    <n v="10"/>
    <s v="Active"/>
    <s v="F"/>
    <s v="&lt;25"/>
    <s v="Entry"/>
    <s v="F|Category B"/>
    <x v="1"/>
  </r>
  <r>
    <s v="EMP013"/>
    <x v="1"/>
    <n v="40"/>
    <s v="Category C"/>
    <s v="Operations"/>
    <s v="Senior Manager"/>
    <n v="2515000"/>
    <x v="2"/>
    <n v="73"/>
    <s v="Exited"/>
    <s v="F"/>
    <s v="35-44"/>
    <s v="Leadership"/>
    <s v="F|Category C"/>
    <x v="0"/>
  </r>
  <r>
    <s v="EMP014"/>
    <x v="1"/>
    <n v="24"/>
    <s v="Category B"/>
    <s v="Finance"/>
    <s v="Entry"/>
    <n v="340000"/>
    <x v="0"/>
    <n v="16"/>
    <s v="Exited"/>
    <s v="F"/>
    <s v="&lt;25"/>
    <s v="Entry"/>
    <s v="F|Category B"/>
    <x v="1"/>
  </r>
  <r>
    <s v="EMP015"/>
    <x v="1"/>
    <n v="44"/>
    <s v="Category B"/>
    <s v="HR"/>
    <s v="Manager"/>
    <n v="1970000"/>
    <x v="1"/>
    <n v="37"/>
    <s v="Active"/>
    <s v="F"/>
    <s v="35-44"/>
    <s v="Leadership"/>
    <s v="F|Category B"/>
    <x v="0"/>
  </r>
  <r>
    <s v="EMP016"/>
    <x v="1"/>
    <n v="34"/>
    <s v="Category B"/>
    <s v="HR"/>
    <s v="Mid-Level"/>
    <n v="610000"/>
    <x v="0"/>
    <n v="38"/>
    <s v="Exited"/>
    <s v="F"/>
    <s v="25-34"/>
    <s v="Mid"/>
    <s v="F|Category B"/>
    <x v="0"/>
  </r>
  <r>
    <s v="EMP017"/>
    <x v="1"/>
    <n v="24"/>
    <s v="Category C"/>
    <s v="Marketing"/>
    <s v="Junior"/>
    <n v="445000"/>
    <x v="1"/>
    <n v="36"/>
    <s v="Active"/>
    <s v="F"/>
    <s v="&lt;25"/>
    <s v="Entry"/>
    <s v="F|Category C"/>
    <x v="1"/>
  </r>
  <r>
    <s v="EMP018"/>
    <x v="0"/>
    <n v="39"/>
    <s v="Category B"/>
    <s v="Sales"/>
    <s v="Senior"/>
    <n v="1075000"/>
    <x v="0"/>
    <n v="58"/>
    <s v="Active"/>
    <s v="M"/>
    <s v="35-44"/>
    <s v="Senior"/>
    <s v="M|Category B"/>
    <x v="0"/>
  </r>
  <r>
    <s v="EMP019"/>
    <x v="0"/>
    <n v="37"/>
    <s v="Category A"/>
    <s v="HR"/>
    <s v="Senior"/>
    <n v="1290000"/>
    <x v="1"/>
    <n v="53"/>
    <s v="Active"/>
    <s v="M"/>
    <s v="35-44"/>
    <s v="Senior"/>
    <s v="M|Category A"/>
    <x v="0"/>
  </r>
  <r>
    <s v="EMP020"/>
    <x v="0"/>
    <n v="30"/>
    <s v="Category A"/>
    <s v="HR"/>
    <s v="Mid-Level"/>
    <n v="910000"/>
    <x v="0"/>
    <n v="19"/>
    <s v="Active"/>
    <s v="M"/>
    <s v="25-34"/>
    <s v="Mid"/>
    <s v="M|Category A"/>
    <x v="0"/>
  </r>
  <r>
    <s v="EMP021"/>
    <x v="1"/>
    <n v="37"/>
    <s v="Category C"/>
    <s v="R&amp;D"/>
    <s v="Manager"/>
    <n v="1840000"/>
    <x v="0"/>
    <n v="67"/>
    <s v="Active"/>
    <s v="F"/>
    <s v="35-44"/>
    <s v="Leadership"/>
    <s v="F|Category C"/>
    <x v="0"/>
  </r>
  <r>
    <s v="EMP022"/>
    <x v="0"/>
    <n v="30"/>
    <s v="Category B"/>
    <s v="HR"/>
    <s v="Junior"/>
    <n v="615000"/>
    <x v="0"/>
    <n v="13"/>
    <s v="Active"/>
    <s v="M"/>
    <s v="25-34"/>
    <s v="Entry"/>
    <s v="M|Category B"/>
    <x v="1"/>
  </r>
  <r>
    <s v="EMP023"/>
    <x v="0"/>
    <n v="41"/>
    <s v="Category A"/>
    <s v="R&amp;D"/>
    <s v="Senior"/>
    <n v="1005000"/>
    <x v="0"/>
    <n v="41"/>
    <s v="Active"/>
    <s v="M"/>
    <s v="35-44"/>
    <s v="Senior"/>
    <s v="M|Category A"/>
    <x v="0"/>
  </r>
  <r>
    <s v="EMP024"/>
    <x v="1"/>
    <n v="22"/>
    <s v="Category C"/>
    <s v="HR"/>
    <s v="Entry"/>
    <n v="375000"/>
    <x v="0"/>
    <n v="10"/>
    <s v="Active"/>
    <s v="F"/>
    <s v="&lt;25"/>
    <s v="Entry"/>
    <s v="F|Category C"/>
    <x v="1"/>
  </r>
  <r>
    <s v="EMP025"/>
    <x v="1"/>
    <n v="39"/>
    <s v="Category A"/>
    <s v="Customer Service"/>
    <s v="Senior"/>
    <n v="915000"/>
    <x v="3"/>
    <n v="35"/>
    <s v="Active"/>
    <s v="F"/>
    <s v="35-44"/>
    <s v="Senior"/>
    <s v="F|Category A"/>
    <x v="0"/>
  </r>
  <r>
    <s v="EMP026"/>
    <x v="1"/>
    <n v="40"/>
    <s v="Category B"/>
    <s v="Customer Service"/>
    <s v="Manager"/>
    <n v="1695000"/>
    <x v="0"/>
    <n v="49"/>
    <s v="Active"/>
    <s v="F"/>
    <s v="35-44"/>
    <s v="Leadership"/>
    <s v="F|Category B"/>
    <x v="0"/>
  </r>
  <r>
    <s v="EMP027"/>
    <x v="0"/>
    <n v="42"/>
    <s v="Category D"/>
    <s v="HR"/>
    <s v="Senior"/>
    <n v="1485000"/>
    <x v="1"/>
    <n v="51"/>
    <s v="Active"/>
    <s v="M"/>
    <s v="35-44"/>
    <s v="Senior"/>
    <s v="M|Category D"/>
    <x v="0"/>
  </r>
  <r>
    <s v="EMP028"/>
    <x v="1"/>
    <n v="31"/>
    <s v="Category A"/>
    <s v="Finance"/>
    <s v="Senior"/>
    <n v="955000"/>
    <x v="1"/>
    <n v="52"/>
    <s v="Exited"/>
    <s v="F"/>
    <s v="25-34"/>
    <s v="Senior"/>
    <s v="F|Category A"/>
    <x v="0"/>
  </r>
  <r>
    <s v="EMP029"/>
    <x v="2"/>
    <n v="37"/>
    <s v="Category C"/>
    <s v="HR"/>
    <s v="Manager"/>
    <n v="1925000"/>
    <x v="0"/>
    <n v="40"/>
    <s v="Active"/>
    <s v="Other"/>
    <s v="35-44"/>
    <s v="Leadership"/>
    <s v="Other|Category C"/>
    <x v="0"/>
  </r>
  <r>
    <s v="EMP030"/>
    <x v="0"/>
    <n v="33"/>
    <s v="Category C"/>
    <s v="Operations"/>
    <s v="Mid-Level"/>
    <n v="945000"/>
    <x v="1"/>
    <n v="48"/>
    <s v="Active"/>
    <s v="M"/>
    <s v="25-34"/>
    <s v="Mid"/>
    <s v="M|Category C"/>
    <x v="0"/>
  </r>
  <r>
    <s v="EMP031"/>
    <x v="1"/>
    <n v="29"/>
    <s v="Category D"/>
    <s v="HR"/>
    <s v="Junior"/>
    <n v="470000"/>
    <x v="1"/>
    <n v="19"/>
    <s v="Active"/>
    <s v="F"/>
    <s v="25-34"/>
    <s v="Entry"/>
    <s v="F|Category D"/>
    <x v="1"/>
  </r>
  <r>
    <s v="EMP032"/>
    <x v="0"/>
    <n v="36"/>
    <s v="Category B"/>
    <s v="Finance"/>
    <s v="Mid-Level"/>
    <n v="650000"/>
    <x v="0"/>
    <n v="28"/>
    <s v="Active"/>
    <s v="M"/>
    <s v="35-44"/>
    <s v="Mid"/>
    <s v="M|Category B"/>
    <x v="0"/>
  </r>
  <r>
    <s v="EMP033"/>
    <x v="1"/>
    <n v="46"/>
    <s v="Prefer Not to Say"/>
    <s v="HR"/>
    <s v="Manager"/>
    <n v="1600000"/>
    <x v="0"/>
    <n v="59"/>
    <s v="Active"/>
    <s v="F"/>
    <s v="45-54"/>
    <s v="Leadership"/>
    <s v="F|Prefer Not to Say"/>
    <x v="0"/>
  </r>
  <r>
    <s v="EMP034"/>
    <x v="0"/>
    <n v="39"/>
    <s v="Category A"/>
    <s v="Finance"/>
    <s v="Senior"/>
    <n v="1215000"/>
    <x v="3"/>
    <n v="26"/>
    <s v="Exited"/>
    <s v="M"/>
    <s v="35-44"/>
    <s v="Senior"/>
    <s v="M|Category A"/>
    <x v="0"/>
  </r>
  <r>
    <s v="EMP035"/>
    <x v="0"/>
    <n v="33"/>
    <s v="Category C"/>
    <s v="IT"/>
    <s v="Senior"/>
    <n v="1185000"/>
    <x v="0"/>
    <n v="33"/>
    <s v="Active"/>
    <s v="M"/>
    <s v="25-34"/>
    <s v="Senior"/>
    <s v="M|Category C"/>
    <x v="0"/>
  </r>
  <r>
    <s v="EMP036"/>
    <x v="0"/>
    <n v="31"/>
    <s v="Category B"/>
    <s v="Marketing"/>
    <s v="Mid-Level"/>
    <n v="625000"/>
    <x v="0"/>
    <n v="42"/>
    <s v="Active"/>
    <s v="M"/>
    <s v="25-34"/>
    <s v="Mid"/>
    <s v="M|Category B"/>
    <x v="0"/>
  </r>
  <r>
    <s v="EMP037"/>
    <x v="1"/>
    <n v="31"/>
    <s v="Category A"/>
    <s v="Marketing"/>
    <s v="Mid-Level"/>
    <n v="685000"/>
    <x v="1"/>
    <n v="50"/>
    <s v="Active"/>
    <s v="F"/>
    <s v="25-34"/>
    <s v="Mid"/>
    <s v="F|Category A"/>
    <x v="0"/>
  </r>
  <r>
    <s v="EMP038"/>
    <x v="0"/>
    <n v="32"/>
    <s v="Category D"/>
    <s v="HR"/>
    <s v="Mid-Level"/>
    <n v="905000"/>
    <x v="1"/>
    <n v="42"/>
    <s v="Active"/>
    <s v="M"/>
    <s v="25-34"/>
    <s v="Mid"/>
    <s v="M|Category D"/>
    <x v="0"/>
  </r>
  <r>
    <s v="EMP039"/>
    <x v="1"/>
    <n v="41"/>
    <s v="Category B"/>
    <s v="Marketing"/>
    <s v="Manager"/>
    <n v="1560000"/>
    <x v="1"/>
    <n v="47"/>
    <s v="Active"/>
    <s v="F"/>
    <s v="35-44"/>
    <s v="Leadership"/>
    <s v="F|Category B"/>
    <x v="0"/>
  </r>
  <r>
    <s v="EMP040"/>
    <x v="0"/>
    <n v="42"/>
    <s v="Category C"/>
    <s v="Operations"/>
    <s v="Manager"/>
    <n v="1470000"/>
    <x v="3"/>
    <n v="36"/>
    <s v="Exited"/>
    <s v="M"/>
    <s v="35-44"/>
    <s v="Leadership"/>
    <s v="M|Category C"/>
    <x v="0"/>
  </r>
  <r>
    <s v="EMP041"/>
    <x v="0"/>
    <n v="37"/>
    <s v="Category B"/>
    <s v="Sales"/>
    <s v="Senior"/>
    <n v="1160000"/>
    <x v="0"/>
    <n v="26"/>
    <s v="Active"/>
    <s v="M"/>
    <s v="35-44"/>
    <s v="Senior"/>
    <s v="M|Category B"/>
    <x v="0"/>
  </r>
  <r>
    <s v="EMP042"/>
    <x v="1"/>
    <n v="38"/>
    <s v="Category B"/>
    <s v="IT"/>
    <s v="Senior"/>
    <n v="1265000"/>
    <x v="0"/>
    <n v="34"/>
    <s v="Active"/>
    <s v="F"/>
    <s v="35-44"/>
    <s v="Senior"/>
    <s v="F|Category B"/>
    <x v="0"/>
  </r>
  <r>
    <s v="EMP043"/>
    <x v="1"/>
    <n v="43"/>
    <s v="Category B"/>
    <s v="HR"/>
    <s v="Manager"/>
    <n v="1670000"/>
    <x v="1"/>
    <n v="50"/>
    <s v="Active"/>
    <s v="F"/>
    <s v="35-44"/>
    <s v="Leadership"/>
    <s v="F|Category B"/>
    <x v="0"/>
  </r>
  <r>
    <s v="EMP044"/>
    <x v="1"/>
    <n v="23"/>
    <s v="Category B"/>
    <s v="Operations"/>
    <s v="Entry"/>
    <n v="345000"/>
    <x v="0"/>
    <n v="16"/>
    <s v="Active"/>
    <s v="F"/>
    <s v="&lt;25"/>
    <s v="Entry"/>
    <s v="F|Category B"/>
    <x v="1"/>
  </r>
  <r>
    <s v="EMP045"/>
    <x v="1"/>
    <n v="35"/>
    <s v="Category A"/>
    <s v="Sales"/>
    <s v="Mid-Level"/>
    <n v="660000"/>
    <x v="0"/>
    <n v="27"/>
    <s v="Active"/>
    <s v="F"/>
    <s v="35-44"/>
    <s v="Mid"/>
    <s v="F|Category A"/>
    <x v="0"/>
  </r>
  <r>
    <s v="EMP046"/>
    <x v="1"/>
    <n v="24"/>
    <s v="Category B"/>
    <s v="IT"/>
    <s v="Junior"/>
    <n v="575000"/>
    <x v="0"/>
    <n v="31"/>
    <s v="Active"/>
    <s v="F"/>
    <s v="&lt;25"/>
    <s v="Entry"/>
    <s v="F|Category B"/>
    <x v="1"/>
  </r>
  <r>
    <s v="EMP047"/>
    <x v="0"/>
    <n v="36"/>
    <s v="Category D"/>
    <s v="Marketing"/>
    <s v="Senior"/>
    <n v="1320000"/>
    <x v="1"/>
    <n v="55"/>
    <s v="Active"/>
    <s v="M"/>
    <s v="35-44"/>
    <s v="Senior"/>
    <s v="M|Category D"/>
    <x v="0"/>
  </r>
  <r>
    <s v="EMP048"/>
    <x v="0"/>
    <n v="31"/>
    <s v="Category D"/>
    <s v="Operations"/>
    <s v="Mid-Level"/>
    <n v="815000"/>
    <x v="1"/>
    <n v="15"/>
    <s v="Active"/>
    <s v="M"/>
    <s v="25-34"/>
    <s v="Mid"/>
    <s v="M|Category D"/>
    <x v="0"/>
  </r>
  <r>
    <s v="EMP049"/>
    <x v="2"/>
    <n v="34"/>
    <s v="Category C"/>
    <s v="Finance"/>
    <s v="Mid-Level"/>
    <n v="955000"/>
    <x v="0"/>
    <n v="45"/>
    <s v="Active"/>
    <s v="Other"/>
    <s v="25-34"/>
    <s v="Mid"/>
    <s v="Other|Category C"/>
    <x v="0"/>
  </r>
  <r>
    <s v="EMP050"/>
    <x v="0"/>
    <n v="28"/>
    <s v="Category D"/>
    <s v="Marketing"/>
    <s v="Junior"/>
    <n v="450000"/>
    <x v="1"/>
    <n v="34"/>
    <s v="Active"/>
    <s v="M"/>
    <s v="25-34"/>
    <s v="Entry"/>
    <s v="M|Category D"/>
    <x v="1"/>
  </r>
  <r>
    <s v="EMP051"/>
    <x v="1"/>
    <n v="22"/>
    <s v="Category C"/>
    <s v="Customer Service"/>
    <s v="Entry"/>
    <n v="425000"/>
    <x v="0"/>
    <n v="10"/>
    <s v="Active"/>
    <s v="F"/>
    <s v="&lt;25"/>
    <s v="Entry"/>
    <s v="F|Category C"/>
    <x v="1"/>
  </r>
  <r>
    <s v="EMP052"/>
    <x v="1"/>
    <n v="30"/>
    <s v="Category D"/>
    <s v="Customer Service"/>
    <s v="Mid-Level"/>
    <n v="675000"/>
    <x v="1"/>
    <n v="15"/>
    <s v="Exited"/>
    <s v="F"/>
    <s v="25-34"/>
    <s v="Mid"/>
    <s v="F|Category D"/>
    <x v="0"/>
  </r>
  <r>
    <s v="EMP053"/>
    <x v="0"/>
    <n v="31"/>
    <s v="Category A"/>
    <s v="R&amp;D"/>
    <s v="Junior"/>
    <n v="645000"/>
    <x v="0"/>
    <n v="17"/>
    <s v="Exited"/>
    <s v="M"/>
    <s v="25-34"/>
    <s v="Entry"/>
    <s v="M|Category A"/>
    <x v="1"/>
  </r>
  <r>
    <s v="EMP054"/>
    <x v="1"/>
    <n v="39"/>
    <s v="Category B"/>
    <s v="R&amp;D"/>
    <s v="Senior"/>
    <n v="1235000"/>
    <x v="3"/>
    <n v="48"/>
    <s v="Active"/>
    <s v="F"/>
    <s v="35-44"/>
    <s v="Senior"/>
    <s v="F|Category B"/>
    <x v="0"/>
  </r>
  <r>
    <s v="EMP055"/>
    <x v="0"/>
    <n v="50"/>
    <s v="Category C"/>
    <s v="R&amp;D"/>
    <s v="Manager"/>
    <n v="1770000"/>
    <x v="0"/>
    <n v="40"/>
    <s v="Active"/>
    <s v="M"/>
    <s v="45-54"/>
    <s v="Leadership"/>
    <s v="M|Category C"/>
    <x v="0"/>
  </r>
  <r>
    <s v="EMP056"/>
    <x v="0"/>
    <n v="31"/>
    <s v="Category D"/>
    <s v="Finance"/>
    <s v="Mid-Level"/>
    <n v="830000"/>
    <x v="0"/>
    <n v="33"/>
    <s v="Active"/>
    <s v="M"/>
    <s v="25-34"/>
    <s v="Mid"/>
    <s v="M|Category D"/>
    <x v="0"/>
  </r>
  <r>
    <s v="EMP057"/>
    <x v="0"/>
    <n v="22"/>
    <s v="Category B"/>
    <s v="R&amp;D"/>
    <s v="Entry"/>
    <n v="400000"/>
    <x v="1"/>
    <n v="30"/>
    <s v="Active"/>
    <s v="M"/>
    <s v="&lt;25"/>
    <s v="Entry"/>
    <s v="M|Category B"/>
    <x v="1"/>
  </r>
  <r>
    <s v="EMP058"/>
    <x v="1"/>
    <n v="30"/>
    <s v="Category B"/>
    <s v="HR"/>
    <s v="Mid-Level"/>
    <n v="820000"/>
    <x v="0"/>
    <n v="16"/>
    <s v="Exited"/>
    <s v="F"/>
    <s v="25-34"/>
    <s v="Mid"/>
    <s v="F|Category B"/>
    <x v="0"/>
  </r>
  <r>
    <s v="EMP059"/>
    <x v="1"/>
    <n v="44"/>
    <s v="Category D"/>
    <s v="Sales"/>
    <s v="Manager"/>
    <n v="1710000"/>
    <x v="2"/>
    <n v="51"/>
    <s v="Active"/>
    <s v="F"/>
    <s v="35-44"/>
    <s v="Leadership"/>
    <s v="F|Category D"/>
    <x v="0"/>
  </r>
  <r>
    <s v="EMP060"/>
    <x v="1"/>
    <n v="31"/>
    <s v="Category B"/>
    <s v="Marketing"/>
    <s v="Mid-Level"/>
    <n v="830000"/>
    <x v="0"/>
    <n v="39"/>
    <s v="Active"/>
    <s v="F"/>
    <s v="25-34"/>
    <s v="Mid"/>
    <s v="F|Category B"/>
    <x v="0"/>
  </r>
  <r>
    <s v="EMP061"/>
    <x v="0"/>
    <n v="45"/>
    <s v="Category C"/>
    <s v="HR"/>
    <s v="Senior"/>
    <n v="1035000"/>
    <x v="3"/>
    <n v="54"/>
    <s v="Active"/>
    <s v="M"/>
    <s v="45-54"/>
    <s v="Senior"/>
    <s v="M|Category C"/>
    <x v="0"/>
  </r>
  <r>
    <s v="EMP062"/>
    <x v="0"/>
    <n v="24"/>
    <s v="Category A"/>
    <s v="Operations"/>
    <s v="Entry"/>
    <n v="335000"/>
    <x v="1"/>
    <n v="13"/>
    <s v="Active"/>
    <s v="M"/>
    <s v="&lt;25"/>
    <s v="Entry"/>
    <s v="M|Category A"/>
    <x v="1"/>
  </r>
  <r>
    <s v="EMP063"/>
    <x v="1"/>
    <n v="29"/>
    <s v="Category B"/>
    <s v="HR"/>
    <s v="Junior"/>
    <n v="545000"/>
    <x v="1"/>
    <n v="36"/>
    <s v="Active"/>
    <s v="F"/>
    <s v="25-34"/>
    <s v="Entry"/>
    <s v="F|Category B"/>
    <x v="1"/>
  </r>
  <r>
    <s v="EMP064"/>
    <x v="0"/>
    <n v="51"/>
    <s v="Category A"/>
    <s v="Sales"/>
    <s v="Senior Manager"/>
    <n v="2035000"/>
    <x v="1"/>
    <n v="79"/>
    <s v="Exited"/>
    <s v="M"/>
    <s v="45-54"/>
    <s v="Leadership"/>
    <s v="M|Category A"/>
    <x v="0"/>
  </r>
  <r>
    <s v="EMP065"/>
    <x v="1"/>
    <n v="23"/>
    <s v="Category A"/>
    <s v="IT"/>
    <s v="Junior"/>
    <n v="480000"/>
    <x v="0"/>
    <n v="25"/>
    <s v="Active"/>
    <s v="F"/>
    <s v="&lt;25"/>
    <s v="Entry"/>
    <s v="F|Category A"/>
    <x v="1"/>
  </r>
  <r>
    <s v="EMP066"/>
    <x v="0"/>
    <n v="33"/>
    <s v="Category A"/>
    <s v="IT"/>
    <s v="Senior"/>
    <n v="1020000"/>
    <x v="2"/>
    <n v="30"/>
    <s v="Exited"/>
    <s v="M"/>
    <s v="25-34"/>
    <s v="Senior"/>
    <s v="M|Category A"/>
    <x v="0"/>
  </r>
  <r>
    <s v="EMP067"/>
    <x v="1"/>
    <n v="33"/>
    <s v="Category C"/>
    <s v="Finance"/>
    <s v="Mid-Level"/>
    <n v="810000"/>
    <x v="2"/>
    <n v="27"/>
    <s v="Active"/>
    <s v="F"/>
    <s v="25-34"/>
    <s v="Mid"/>
    <s v="F|Category C"/>
    <x v="0"/>
  </r>
  <r>
    <s v="EMP068"/>
    <x v="0"/>
    <n v="35"/>
    <s v="Category B"/>
    <s v="Operations"/>
    <s v="Senior"/>
    <n v="1025000"/>
    <x v="2"/>
    <n v="56"/>
    <s v="Active"/>
    <s v="M"/>
    <s v="35-44"/>
    <s v="Senior"/>
    <s v="M|Category B"/>
    <x v="0"/>
  </r>
  <r>
    <s v="EMP069"/>
    <x v="0"/>
    <n v="26"/>
    <s v="Category D"/>
    <s v="R&amp;D"/>
    <s v="Entry"/>
    <n v="390000"/>
    <x v="0"/>
    <n v="21"/>
    <s v="Active"/>
    <s v="M"/>
    <s v="25-34"/>
    <s v="Entry"/>
    <s v="M|Category D"/>
    <x v="1"/>
  </r>
  <r>
    <s v="EMP070"/>
    <x v="1"/>
    <n v="37"/>
    <s v="Category C"/>
    <s v="R&amp;D"/>
    <s v="Senior"/>
    <n v="1085000"/>
    <x v="2"/>
    <n v="37"/>
    <s v="Active"/>
    <s v="F"/>
    <s v="35-44"/>
    <s v="Senior"/>
    <s v="F|Category C"/>
    <x v="0"/>
  </r>
  <r>
    <s v="EMP071"/>
    <x v="0"/>
    <n v="38"/>
    <s v="Category D"/>
    <s v="Sales"/>
    <s v="Mid-Level"/>
    <n v="910000"/>
    <x v="0"/>
    <n v="30"/>
    <s v="Active"/>
    <s v="M"/>
    <s v="35-44"/>
    <s v="Mid"/>
    <s v="M|Category D"/>
    <x v="0"/>
  </r>
  <r>
    <s v="EMP072"/>
    <x v="0"/>
    <n v="40"/>
    <s v="Category A"/>
    <s v="IT"/>
    <s v="Senior"/>
    <n v="1295000"/>
    <x v="0"/>
    <n v="51"/>
    <s v="Exited"/>
    <s v="M"/>
    <s v="35-44"/>
    <s v="Senior"/>
    <s v="M|Category A"/>
    <x v="0"/>
  </r>
  <r>
    <s v="EMP073"/>
    <x v="0"/>
    <n v="27"/>
    <s v="Category B"/>
    <s v="Sales"/>
    <s v="Junior"/>
    <n v="690000"/>
    <x v="0"/>
    <n v="40"/>
    <s v="Active"/>
    <s v="M"/>
    <s v="25-34"/>
    <s v="Entry"/>
    <s v="M|Category B"/>
    <x v="1"/>
  </r>
  <r>
    <s v="EMP074"/>
    <x v="0"/>
    <n v="41"/>
    <s v="Category C"/>
    <s v="IT"/>
    <s v="Senior"/>
    <n v="1415000"/>
    <x v="1"/>
    <n v="21"/>
    <s v="Active"/>
    <s v="M"/>
    <s v="35-44"/>
    <s v="Senior"/>
    <s v="M|Category C"/>
    <x v="0"/>
  </r>
  <r>
    <s v="EMP075"/>
    <x v="1"/>
    <n v="36"/>
    <s v="Category B"/>
    <s v="R&amp;D"/>
    <s v="Senior"/>
    <n v="1395000"/>
    <x v="1"/>
    <n v="42"/>
    <s v="Active"/>
    <s v="F"/>
    <s v="35-44"/>
    <s v="Senior"/>
    <s v="F|Category B"/>
    <x v="0"/>
  </r>
  <r>
    <s v="EMP076"/>
    <x v="1"/>
    <n v="27"/>
    <s v="Category D"/>
    <s v="Marketing"/>
    <s v="Junior"/>
    <n v="520000"/>
    <x v="0"/>
    <n v="16"/>
    <s v="Active"/>
    <s v="F"/>
    <s v="25-34"/>
    <s v="Entry"/>
    <s v="F|Category D"/>
    <x v="1"/>
  </r>
  <r>
    <s v="EMP077"/>
    <x v="0"/>
    <n v="30"/>
    <s v="Category A"/>
    <s v="Sales"/>
    <s v="Junior"/>
    <n v="545000"/>
    <x v="1"/>
    <n v="34"/>
    <s v="Active"/>
    <s v="M"/>
    <s v="25-34"/>
    <s v="Entry"/>
    <s v="M|Category A"/>
    <x v="1"/>
  </r>
  <r>
    <s v="EMP078"/>
    <x v="0"/>
    <n v="28"/>
    <s v="Prefer Not to Say"/>
    <s v="IT"/>
    <s v="Junior"/>
    <n v="495000"/>
    <x v="0"/>
    <n v="32"/>
    <s v="Active"/>
    <s v="M"/>
    <s v="25-34"/>
    <s v="Entry"/>
    <s v="M|Prefer Not to Say"/>
    <x v="1"/>
  </r>
  <r>
    <s v="EMP079"/>
    <x v="0"/>
    <n v="33"/>
    <s v="Category B"/>
    <s v="Marketing"/>
    <s v="Senior"/>
    <n v="1415000"/>
    <x v="0"/>
    <n v="20"/>
    <s v="Active"/>
    <s v="M"/>
    <s v="25-34"/>
    <s v="Senior"/>
    <s v="M|Category B"/>
    <x v="0"/>
  </r>
  <r>
    <s v="EMP080"/>
    <x v="0"/>
    <n v="48"/>
    <s v="Category A"/>
    <s v="HR"/>
    <s v="Senior Manager"/>
    <n v="2785000"/>
    <x v="2"/>
    <n v="37"/>
    <s v="Active"/>
    <s v="M"/>
    <s v="45-54"/>
    <s v="Leadership"/>
    <s v="M|Category A"/>
    <x v="0"/>
  </r>
  <r>
    <s v="EMP081"/>
    <x v="0"/>
    <n v="27"/>
    <s v="Category C"/>
    <s v="Sales"/>
    <s v="Entry"/>
    <n v="450000"/>
    <x v="1"/>
    <n v="10"/>
    <s v="Exited"/>
    <s v="M"/>
    <s v="25-34"/>
    <s v="Entry"/>
    <s v="M|Category C"/>
    <x v="1"/>
  </r>
  <r>
    <s v="EMP082"/>
    <x v="3"/>
    <n v="37"/>
    <s v="Category B"/>
    <s v="HR"/>
    <s v="Senior"/>
    <n v="1370000"/>
    <x v="3"/>
    <n v="39"/>
    <s v="Exited"/>
    <s v="Undisclosed"/>
    <s v="35-44"/>
    <s v="Senior"/>
    <s v="Undisclosed|Category B"/>
    <x v="0"/>
  </r>
  <r>
    <s v="EMP083"/>
    <x v="0"/>
    <n v="38"/>
    <s v="Category A"/>
    <s v="Sales"/>
    <s v="Mid-Level"/>
    <n v="650000"/>
    <x v="2"/>
    <n v="28"/>
    <s v="Active"/>
    <s v="M"/>
    <s v="35-44"/>
    <s v="Mid"/>
    <s v="M|Category A"/>
    <x v="0"/>
  </r>
  <r>
    <s v="EMP084"/>
    <x v="0"/>
    <n v="21"/>
    <s v="Category A"/>
    <s v="IT"/>
    <s v="Entry"/>
    <n v="340000"/>
    <x v="0"/>
    <n v="22"/>
    <s v="Active"/>
    <s v="M"/>
    <s v="&lt;25"/>
    <s v="Entry"/>
    <s v="M|Category A"/>
    <x v="1"/>
  </r>
  <r>
    <s v="EMP085"/>
    <x v="1"/>
    <n v="42"/>
    <s v="Category C"/>
    <s v="Sales"/>
    <s v="Senior"/>
    <n v="1375000"/>
    <x v="0"/>
    <n v="34"/>
    <s v="Exited"/>
    <s v="F"/>
    <s v="35-44"/>
    <s v="Senior"/>
    <s v="F|Category C"/>
    <x v="0"/>
  </r>
  <r>
    <s v="EMP086"/>
    <x v="0"/>
    <n v="35"/>
    <s v="Category A"/>
    <s v="IT"/>
    <s v="Mid-Level"/>
    <n v="720000"/>
    <x v="1"/>
    <n v="32"/>
    <s v="Active"/>
    <s v="M"/>
    <s v="35-44"/>
    <s v="Mid"/>
    <s v="M|Category A"/>
    <x v="0"/>
  </r>
  <r>
    <s v="EMP087"/>
    <x v="1"/>
    <n v="36"/>
    <s v="Category D"/>
    <s v="R&amp;D"/>
    <s v="Mid-Level"/>
    <n v="750000"/>
    <x v="0"/>
    <n v="44"/>
    <s v="Active"/>
    <s v="F"/>
    <s v="35-44"/>
    <s v="Mid"/>
    <s v="F|Category D"/>
    <x v="0"/>
  </r>
  <r>
    <s v="EMP088"/>
    <x v="0"/>
    <n v="36"/>
    <s v="Category A"/>
    <s v="HR"/>
    <s v="Mid-Level"/>
    <n v="620000"/>
    <x v="2"/>
    <n v="35"/>
    <s v="Active"/>
    <s v="M"/>
    <s v="35-44"/>
    <s v="Mid"/>
    <s v="M|Category A"/>
    <x v="0"/>
  </r>
  <r>
    <s v="EMP089"/>
    <x v="1"/>
    <n v="48"/>
    <s v="Category B"/>
    <s v="IT"/>
    <s v="Senior Manager"/>
    <n v="2405000"/>
    <x v="0"/>
    <n v="78"/>
    <s v="Active"/>
    <s v="F"/>
    <s v="45-54"/>
    <s v="Leadership"/>
    <s v="F|Category B"/>
    <x v="0"/>
  </r>
  <r>
    <s v="EMP090"/>
    <x v="0"/>
    <n v="29"/>
    <s v="Category C"/>
    <s v="Marketing"/>
    <s v="Junior"/>
    <n v="660000"/>
    <x v="1"/>
    <n v="25"/>
    <s v="Active"/>
    <s v="M"/>
    <s v="25-34"/>
    <s v="Entry"/>
    <s v="M|Category C"/>
    <x v="1"/>
  </r>
  <r>
    <s v="EMP091"/>
    <x v="1"/>
    <n v="30"/>
    <s v="Category B"/>
    <s v="Operations"/>
    <s v="Junior"/>
    <n v="550000"/>
    <x v="0"/>
    <n v="22"/>
    <s v="Active"/>
    <s v="F"/>
    <s v="25-34"/>
    <s v="Entry"/>
    <s v="F|Category B"/>
    <x v="1"/>
  </r>
  <r>
    <s v="EMP092"/>
    <x v="1"/>
    <n v="24"/>
    <s v="Category B"/>
    <s v="Customer Service"/>
    <s v="Junior"/>
    <n v="610000"/>
    <x v="1"/>
    <n v="36"/>
    <s v="Exited"/>
    <s v="F"/>
    <s v="&lt;25"/>
    <s v="Entry"/>
    <s v="F|Category B"/>
    <x v="1"/>
  </r>
  <r>
    <s v="EMP093"/>
    <x v="1"/>
    <n v="25"/>
    <s v="Category A"/>
    <s v="Marketing"/>
    <s v="Entry"/>
    <n v="395000"/>
    <x v="0"/>
    <n v="23"/>
    <s v="Active"/>
    <s v="F"/>
    <s v="25-34"/>
    <s v="Entry"/>
    <s v="F|Category A"/>
    <x v="1"/>
  </r>
  <r>
    <s v="EMP094"/>
    <x v="0"/>
    <n v="49"/>
    <s v="Category A"/>
    <s v="HR"/>
    <s v="Manager"/>
    <n v="1810000"/>
    <x v="0"/>
    <n v="65"/>
    <s v="Active"/>
    <s v="M"/>
    <s v="45-54"/>
    <s v="Leadership"/>
    <s v="M|Category A"/>
    <x v="0"/>
  </r>
  <r>
    <s v="EMP095"/>
    <x v="0"/>
    <n v="28"/>
    <s v="Category D"/>
    <s v="R&amp;D"/>
    <s v="Mid-Level"/>
    <n v="720000"/>
    <x v="2"/>
    <n v="22"/>
    <s v="Active"/>
    <s v="M"/>
    <s v="25-34"/>
    <s v="Mid"/>
    <s v="M|Category D"/>
    <x v="0"/>
  </r>
  <r>
    <s v="EMP096"/>
    <x v="3"/>
    <n v="44"/>
    <s v="Category A"/>
    <s v="Marketing"/>
    <s v="Manager"/>
    <n v="1835000"/>
    <x v="2"/>
    <n v="51"/>
    <s v="Active"/>
    <s v="Undisclosed"/>
    <s v="35-44"/>
    <s v="Leadership"/>
    <s v="Undisclosed|Category A"/>
    <x v="0"/>
  </r>
  <r>
    <s v="EMP097"/>
    <x v="1"/>
    <n v="31"/>
    <s v="Category B"/>
    <s v="IT"/>
    <s v="Junior"/>
    <n v="470000"/>
    <x v="1"/>
    <n v="18"/>
    <s v="Active"/>
    <s v="F"/>
    <s v="25-34"/>
    <s v="Entry"/>
    <s v="F|Category B"/>
    <x v="1"/>
  </r>
  <r>
    <s v="EMP098"/>
    <x v="1"/>
    <n v="35"/>
    <s v="Category A"/>
    <s v="R&amp;D"/>
    <s v="Senior"/>
    <n v="1215000"/>
    <x v="2"/>
    <n v="57"/>
    <s v="Exited"/>
    <s v="F"/>
    <s v="35-44"/>
    <s v="Senior"/>
    <s v="F|Category A"/>
    <x v="0"/>
  </r>
  <r>
    <s v="EMP099"/>
    <x v="0"/>
    <n v="31"/>
    <s v="Category C"/>
    <s v="Customer Service"/>
    <s v="Junior"/>
    <n v="685000"/>
    <x v="0"/>
    <n v="39"/>
    <s v="Active"/>
    <s v="M"/>
    <s v="25-34"/>
    <s v="Entry"/>
    <s v="M|Category C"/>
    <x v="1"/>
  </r>
  <r>
    <s v="EMP100"/>
    <x v="1"/>
    <n v="29"/>
    <s v="Category B"/>
    <s v="Marketing"/>
    <s v="Junior"/>
    <n v="425000"/>
    <x v="0"/>
    <n v="25"/>
    <s v="Active"/>
    <s v="F"/>
    <s v="25-34"/>
    <s v="Entry"/>
    <s v="F|Category B"/>
    <x v="1"/>
  </r>
  <r>
    <s v="EMP101"/>
    <x v="1"/>
    <n v="27"/>
    <s v="Category B"/>
    <s v="R&amp;D"/>
    <s v="Mid-Level"/>
    <n v="665000"/>
    <x v="1"/>
    <n v="36"/>
    <s v="Exited"/>
    <s v="F"/>
    <s v="25-34"/>
    <s v="Mid"/>
    <s v="F|Category B"/>
    <x v="0"/>
  </r>
  <r>
    <s v="EMP102"/>
    <x v="1"/>
    <n v="22"/>
    <s v="Category A"/>
    <s v="Customer Service"/>
    <s v="Entry"/>
    <n v="405000"/>
    <x v="1"/>
    <n v="12"/>
    <s v="Active"/>
    <s v="F"/>
    <s v="&lt;25"/>
    <s v="Entry"/>
    <s v="F|Category A"/>
    <x v="1"/>
  </r>
  <r>
    <s v="EMP103"/>
    <x v="1"/>
    <n v="32"/>
    <s v="Category D"/>
    <s v="R&amp;D"/>
    <s v="Mid-Level"/>
    <n v="955000"/>
    <x v="2"/>
    <n v="39"/>
    <s v="Exited"/>
    <s v="F"/>
    <s v="25-34"/>
    <s v="Mid"/>
    <s v="F|Category D"/>
    <x v="0"/>
  </r>
  <r>
    <s v="EMP104"/>
    <x v="0"/>
    <n v="36"/>
    <s v="Category A"/>
    <s v="Finance"/>
    <s v="Manager"/>
    <n v="1945000"/>
    <x v="0"/>
    <n v="65"/>
    <s v="Active"/>
    <s v="M"/>
    <s v="35-44"/>
    <s v="Leadership"/>
    <s v="M|Category A"/>
    <x v="0"/>
  </r>
  <r>
    <s v="EMP105"/>
    <x v="1"/>
    <n v="28"/>
    <s v="Category D"/>
    <s v="HR"/>
    <s v="Mid-Level"/>
    <n v="1000000"/>
    <x v="1"/>
    <n v="21"/>
    <s v="Active"/>
    <s v="F"/>
    <s v="25-34"/>
    <s v="Mid"/>
    <s v="F|Category D"/>
    <x v="0"/>
  </r>
  <r>
    <s v="EMP106"/>
    <x v="1"/>
    <n v="23"/>
    <s v="Category C"/>
    <s v="Marketing"/>
    <s v="Junior"/>
    <n v="555000"/>
    <x v="0"/>
    <n v="23"/>
    <s v="Active"/>
    <s v="F"/>
    <s v="&lt;25"/>
    <s v="Entry"/>
    <s v="F|Category C"/>
    <x v="1"/>
  </r>
  <r>
    <s v="EMP107"/>
    <x v="1"/>
    <n v="21"/>
    <s v="Category C"/>
    <s v="Sales"/>
    <s v="Entry"/>
    <n v="460000"/>
    <x v="1"/>
    <n v="27"/>
    <s v="Active"/>
    <s v="F"/>
    <s v="&lt;25"/>
    <s v="Entry"/>
    <s v="F|Category C"/>
    <x v="1"/>
  </r>
  <r>
    <s v="EMP108"/>
    <x v="0"/>
    <n v="31"/>
    <s v="Category B"/>
    <s v="Marketing"/>
    <s v="Mid-Level"/>
    <n v="840000"/>
    <x v="0"/>
    <n v="15"/>
    <s v="Exited"/>
    <s v="M"/>
    <s v="25-34"/>
    <s v="Mid"/>
    <s v="M|Category B"/>
    <x v="0"/>
  </r>
  <r>
    <s v="EMP109"/>
    <x v="0"/>
    <n v="23"/>
    <s v="Category B"/>
    <s v="Customer Service"/>
    <s v="Entry"/>
    <n v="455000"/>
    <x v="0"/>
    <n v="21"/>
    <s v="Active"/>
    <s v="M"/>
    <s v="&lt;25"/>
    <s v="Entry"/>
    <s v="M|Category B"/>
    <x v="1"/>
  </r>
  <r>
    <s v="EMP110"/>
    <x v="3"/>
    <n v="38"/>
    <s v="Category B"/>
    <s v="Customer Service"/>
    <s v="Manager"/>
    <n v="1550000"/>
    <x v="0"/>
    <n v="47"/>
    <s v="Active"/>
    <s v="Undisclosed"/>
    <s v="35-44"/>
    <s v="Leadership"/>
    <s v="Undisclosed|Category B"/>
    <x v="0"/>
  </r>
  <r>
    <s v="EMP111"/>
    <x v="1"/>
    <n v="23"/>
    <s v="Category C"/>
    <s v="Operations"/>
    <s v="Junior"/>
    <n v="660000"/>
    <x v="1"/>
    <n v="38"/>
    <s v="Active"/>
    <s v="F"/>
    <s v="&lt;25"/>
    <s v="Entry"/>
    <s v="F|Category C"/>
    <x v="1"/>
  </r>
  <r>
    <s v="EMP112"/>
    <x v="1"/>
    <n v="26"/>
    <s v="Category A"/>
    <s v="Finance"/>
    <s v="Junior"/>
    <n v="530000"/>
    <x v="1"/>
    <n v="33"/>
    <s v="Active"/>
    <s v="F"/>
    <s v="25-34"/>
    <s v="Entry"/>
    <s v="F|Category A"/>
    <x v="1"/>
  </r>
  <r>
    <s v="EMP113"/>
    <x v="1"/>
    <n v="36"/>
    <s v="Category A"/>
    <s v="IT"/>
    <s v="Manager"/>
    <n v="1625000"/>
    <x v="2"/>
    <n v="27"/>
    <s v="Active"/>
    <s v="F"/>
    <s v="35-44"/>
    <s v="Leadership"/>
    <s v="F|Category A"/>
    <x v="0"/>
  </r>
  <r>
    <s v="EMP114"/>
    <x v="3"/>
    <n v="29"/>
    <s v="Category B"/>
    <s v="IT"/>
    <s v="Junior"/>
    <n v="490000"/>
    <x v="0"/>
    <n v="35"/>
    <s v="Active"/>
    <s v="Undisclosed"/>
    <s v="25-34"/>
    <s v="Entry"/>
    <s v="Undisclosed|Category B"/>
    <x v="1"/>
  </r>
  <r>
    <s v="EMP115"/>
    <x v="0"/>
    <n v="35"/>
    <s v="Category A"/>
    <s v="Finance"/>
    <s v="Senior"/>
    <n v="1405000"/>
    <x v="3"/>
    <n v="38"/>
    <s v="Active"/>
    <s v="M"/>
    <s v="35-44"/>
    <s v="Senior"/>
    <s v="M|Category A"/>
    <x v="0"/>
  </r>
  <r>
    <s v="EMP116"/>
    <x v="1"/>
    <n v="22"/>
    <s v="Category B"/>
    <s v="Customer Service"/>
    <s v="Entry"/>
    <n v="475000"/>
    <x v="1"/>
    <n v="20"/>
    <s v="Exited"/>
    <s v="F"/>
    <s v="&lt;25"/>
    <s v="Entry"/>
    <s v="F|Category B"/>
    <x v="1"/>
  </r>
  <r>
    <s v="EMP117"/>
    <x v="0"/>
    <n v="25"/>
    <s v="Category B"/>
    <s v="Operations"/>
    <s v="Entry"/>
    <n v="330000"/>
    <x v="0"/>
    <n v="29"/>
    <s v="Active"/>
    <s v="M"/>
    <s v="25-34"/>
    <s v="Entry"/>
    <s v="M|Category B"/>
    <x v="1"/>
  </r>
  <r>
    <s v="EMP118"/>
    <x v="1"/>
    <n v="22"/>
    <s v="Category C"/>
    <s v="R&amp;D"/>
    <s v="Entry"/>
    <n v="425000"/>
    <x v="0"/>
    <n v="25"/>
    <s v="Active"/>
    <s v="F"/>
    <s v="&lt;25"/>
    <s v="Entry"/>
    <s v="F|Category C"/>
    <x v="1"/>
  </r>
  <r>
    <s v="EMP119"/>
    <x v="0"/>
    <n v="44"/>
    <s v="Prefer Not to Say"/>
    <s v="Finance"/>
    <s v="Manager"/>
    <n v="1980000"/>
    <x v="1"/>
    <n v="33"/>
    <s v="Active"/>
    <s v="M"/>
    <s v="35-44"/>
    <s v="Leadership"/>
    <s v="M|Prefer Not to Say"/>
    <x v="0"/>
  </r>
  <r>
    <s v="EMP120"/>
    <x v="1"/>
    <n v="25"/>
    <s v="Category D"/>
    <s v="Customer Service"/>
    <s v="Entry"/>
    <n v="335000"/>
    <x v="0"/>
    <n v="19"/>
    <s v="Active"/>
    <s v="F"/>
    <s v="25-34"/>
    <s v="Entry"/>
    <s v="F|Category D"/>
    <x v="1"/>
  </r>
  <r>
    <s v="EMP121"/>
    <x v="1"/>
    <n v="38"/>
    <s v="Category D"/>
    <s v="IT"/>
    <s v="Mid-Level"/>
    <n v="680000"/>
    <x v="2"/>
    <n v="21"/>
    <s v="Active"/>
    <s v="F"/>
    <s v="35-44"/>
    <s v="Mid"/>
    <s v="F|Category D"/>
    <x v="0"/>
  </r>
  <r>
    <s v="EMP122"/>
    <x v="0"/>
    <n v="23"/>
    <s v="Category C"/>
    <s v="Operations"/>
    <s v="Entry"/>
    <n v="355000"/>
    <x v="0"/>
    <n v="15"/>
    <s v="Exited"/>
    <s v="M"/>
    <s v="&lt;25"/>
    <s v="Entry"/>
    <s v="M|Category C"/>
    <x v="1"/>
  </r>
  <r>
    <s v="EMP123"/>
    <x v="0"/>
    <n v="23"/>
    <s v="Category C"/>
    <s v="HR"/>
    <s v="Entry"/>
    <n v="350000"/>
    <x v="1"/>
    <n v="22"/>
    <s v="Active"/>
    <s v="M"/>
    <s v="&lt;25"/>
    <s v="Entry"/>
    <s v="M|Category C"/>
    <x v="1"/>
  </r>
  <r>
    <s v="EMP124"/>
    <x v="1"/>
    <n v="23"/>
    <s v="Category C"/>
    <s v="Sales"/>
    <s v="Entry"/>
    <n v="365000"/>
    <x v="1"/>
    <n v="26"/>
    <s v="Active"/>
    <s v="F"/>
    <s v="&lt;25"/>
    <s v="Entry"/>
    <s v="F|Category C"/>
    <x v="1"/>
  </r>
  <r>
    <s v="EMP125"/>
    <x v="1"/>
    <n v="34"/>
    <s v="Category A"/>
    <s v="Marketing"/>
    <s v="Senior"/>
    <n v="1245000"/>
    <x v="2"/>
    <n v="58"/>
    <s v="Active"/>
    <s v="F"/>
    <s v="25-34"/>
    <s v="Senior"/>
    <s v="F|Category A"/>
    <x v="0"/>
  </r>
  <r>
    <s v="EMP126"/>
    <x v="0"/>
    <n v="29"/>
    <s v="Category D"/>
    <s v="Operations"/>
    <s v="Mid-Level"/>
    <n v="660000"/>
    <x v="1"/>
    <n v="16"/>
    <s v="Active"/>
    <s v="M"/>
    <s v="25-34"/>
    <s v="Mid"/>
    <s v="M|Category D"/>
    <x v="0"/>
  </r>
  <r>
    <s v="EMP127"/>
    <x v="1"/>
    <n v="23"/>
    <s v="Category B"/>
    <s v="Operations"/>
    <s v="Entry"/>
    <n v="315000"/>
    <x v="0"/>
    <n v="21"/>
    <s v="Active"/>
    <s v="F"/>
    <s v="&lt;25"/>
    <s v="Entry"/>
    <s v="F|Category B"/>
    <x v="1"/>
  </r>
  <r>
    <s v="EMP128"/>
    <x v="1"/>
    <n v="28"/>
    <s v="Category C"/>
    <s v="IT"/>
    <s v="Mid-Level"/>
    <n v="835000"/>
    <x v="1"/>
    <n v="17"/>
    <s v="Active"/>
    <s v="F"/>
    <s v="25-34"/>
    <s v="Mid"/>
    <s v="F|Category C"/>
    <x v="0"/>
  </r>
  <r>
    <s v="EMP129"/>
    <x v="0"/>
    <n v="27"/>
    <s v="Category C"/>
    <s v="R&amp;D"/>
    <s v="Mid-Level"/>
    <n v="630000"/>
    <x v="2"/>
    <n v="40"/>
    <s v="Active"/>
    <s v="M"/>
    <s v="25-34"/>
    <s v="Mid"/>
    <s v="M|Category C"/>
    <x v="0"/>
  </r>
  <r>
    <s v="EMP130"/>
    <x v="1"/>
    <n v="21"/>
    <s v="Category C"/>
    <s v="Operations"/>
    <s v="Entry"/>
    <n v="385000"/>
    <x v="0"/>
    <n v="10"/>
    <s v="Active"/>
    <s v="F"/>
    <s v="&lt;25"/>
    <s v="Entry"/>
    <s v="F|Category C"/>
    <x v="1"/>
  </r>
  <r>
    <s v="EMP131"/>
    <x v="1"/>
    <n v="31"/>
    <s v="Category A"/>
    <s v="Sales"/>
    <s v="Junior"/>
    <n v="555000"/>
    <x v="0"/>
    <n v="29"/>
    <s v="Active"/>
    <s v="F"/>
    <s v="25-34"/>
    <s v="Entry"/>
    <s v="F|Category A"/>
    <x v="1"/>
  </r>
  <r>
    <s v="EMP132"/>
    <x v="1"/>
    <n v="30"/>
    <s v="Category B"/>
    <s v="Operations"/>
    <s v="Mid-Level"/>
    <n v="815000"/>
    <x v="0"/>
    <n v="44"/>
    <s v="Active"/>
    <s v="F"/>
    <s v="25-34"/>
    <s v="Mid"/>
    <s v="F|Category B"/>
    <x v="0"/>
  </r>
  <r>
    <s v="EMP133"/>
    <x v="1"/>
    <n v="36"/>
    <s v="Category A"/>
    <s v="Finance"/>
    <s v="Senior"/>
    <n v="1060000"/>
    <x v="1"/>
    <n v="50"/>
    <s v="Active"/>
    <s v="F"/>
    <s v="35-44"/>
    <s v="Senior"/>
    <s v="F|Category A"/>
    <x v="0"/>
  </r>
  <r>
    <s v="EMP134"/>
    <x v="1"/>
    <n v="36"/>
    <s v="Category C"/>
    <s v="Customer Service"/>
    <s v="Senior"/>
    <n v="1035000"/>
    <x v="1"/>
    <n v="57"/>
    <s v="Exited"/>
    <s v="F"/>
    <s v="35-44"/>
    <s v="Senior"/>
    <s v="F|Category C"/>
    <x v="0"/>
  </r>
  <r>
    <s v="EMP135"/>
    <x v="0"/>
    <n v="29"/>
    <s v="Category B"/>
    <s v="Marketing"/>
    <s v="Junior"/>
    <n v="425000"/>
    <x v="1"/>
    <n v="29"/>
    <s v="Active"/>
    <s v="M"/>
    <s v="25-34"/>
    <s v="Entry"/>
    <s v="M|Category B"/>
    <x v="1"/>
  </r>
  <r>
    <s v="EMP136"/>
    <x v="1"/>
    <n v="34"/>
    <s v="Category C"/>
    <s v="Customer Service"/>
    <s v="Senior"/>
    <n v="1015000"/>
    <x v="0"/>
    <n v="55"/>
    <s v="Active"/>
    <s v="F"/>
    <s v="25-34"/>
    <s v="Senior"/>
    <s v="F|Category C"/>
    <x v="0"/>
  </r>
  <r>
    <s v="EMP137"/>
    <x v="0"/>
    <n v="43"/>
    <s v="Category C"/>
    <s v="Operations"/>
    <s v="Senior"/>
    <n v="1485000"/>
    <x v="0"/>
    <n v="37"/>
    <s v="Active"/>
    <s v="M"/>
    <s v="35-44"/>
    <s v="Senior"/>
    <s v="M|Category C"/>
    <x v="0"/>
  </r>
  <r>
    <s v="EMP138"/>
    <x v="1"/>
    <n v="25"/>
    <s v="Prefer Not to Say"/>
    <s v="Finance"/>
    <s v="Junior"/>
    <n v="475000"/>
    <x v="0"/>
    <n v="22"/>
    <s v="Active"/>
    <s v="F"/>
    <s v="25-34"/>
    <s v="Entry"/>
    <s v="F|Prefer Not to Say"/>
    <x v="1"/>
  </r>
  <r>
    <s v="EMP139"/>
    <x v="0"/>
    <n v="34"/>
    <s v="Category B"/>
    <s v="Finance"/>
    <s v="Senior"/>
    <n v="1295000"/>
    <x v="1"/>
    <n v="41"/>
    <s v="Active"/>
    <s v="M"/>
    <s v="25-34"/>
    <s v="Senior"/>
    <s v="M|Category B"/>
    <x v="0"/>
  </r>
  <r>
    <s v="EMP140"/>
    <x v="0"/>
    <n v="39"/>
    <s v="Category C"/>
    <s v="R&amp;D"/>
    <s v="Manager"/>
    <n v="1465000"/>
    <x v="2"/>
    <n v="28"/>
    <s v="Active"/>
    <s v="M"/>
    <s v="35-44"/>
    <s v="Leadership"/>
    <s v="M|Category C"/>
    <x v="0"/>
  </r>
  <r>
    <s v="EMP141"/>
    <x v="0"/>
    <n v="33"/>
    <s v="Category B"/>
    <s v="R&amp;D"/>
    <s v="Mid-Level"/>
    <n v="745000"/>
    <x v="0"/>
    <n v="47"/>
    <s v="Active"/>
    <s v="M"/>
    <s v="25-34"/>
    <s v="Mid"/>
    <s v="M|Category B"/>
    <x v="0"/>
  </r>
  <r>
    <s v="EMP142"/>
    <x v="0"/>
    <n v="31"/>
    <s v="Category A"/>
    <s v="Marketing"/>
    <s v="Mid-Level"/>
    <n v="625000"/>
    <x v="0"/>
    <n v="18"/>
    <s v="Active"/>
    <s v="M"/>
    <s v="25-34"/>
    <s v="Mid"/>
    <s v="M|Category A"/>
    <x v="0"/>
  </r>
  <r>
    <s v="EMP143"/>
    <x v="0"/>
    <n v="35"/>
    <s v="Category B"/>
    <s v="Sales"/>
    <s v="Senior"/>
    <n v="1245000"/>
    <x v="0"/>
    <n v="51"/>
    <s v="Active"/>
    <s v="M"/>
    <s v="35-44"/>
    <s v="Senior"/>
    <s v="M|Category B"/>
    <x v="0"/>
  </r>
  <r>
    <s v="EMP144"/>
    <x v="0"/>
    <n v="37"/>
    <s v="Category A"/>
    <s v="Operations"/>
    <s v="Mid-Level"/>
    <n v="785000"/>
    <x v="0"/>
    <n v="17"/>
    <s v="Active"/>
    <s v="M"/>
    <s v="35-44"/>
    <s v="Mid"/>
    <s v="M|Category A"/>
    <x v="0"/>
  </r>
  <r>
    <s v="EMP145"/>
    <x v="0"/>
    <n v="36"/>
    <s v="Category D"/>
    <s v="Marketing"/>
    <s v="Mid-Level"/>
    <n v="810000"/>
    <x v="1"/>
    <n v="41"/>
    <s v="Active"/>
    <s v="M"/>
    <s v="35-44"/>
    <s v="Mid"/>
    <s v="M|Category D"/>
    <x v="0"/>
  </r>
  <r>
    <s v="EMP146"/>
    <x v="1"/>
    <n v="40"/>
    <s v="Category A"/>
    <s v="Customer Service"/>
    <s v="Senior"/>
    <n v="1380000"/>
    <x v="2"/>
    <n v="43"/>
    <s v="Active"/>
    <s v="F"/>
    <s v="35-44"/>
    <s v="Senior"/>
    <s v="F|Category A"/>
    <x v="0"/>
  </r>
  <r>
    <s v="EMP147"/>
    <x v="0"/>
    <n v="33"/>
    <s v="Category B"/>
    <s v="Finance"/>
    <s v="Mid-Level"/>
    <n v="765000"/>
    <x v="1"/>
    <n v="29"/>
    <s v="Active"/>
    <s v="M"/>
    <s v="25-34"/>
    <s v="Mid"/>
    <s v="M|Category B"/>
    <x v="0"/>
  </r>
  <r>
    <s v="EMP148"/>
    <x v="0"/>
    <n v="30"/>
    <s v="Category A"/>
    <s v="Marketing"/>
    <s v="Mid-Level"/>
    <n v="785000"/>
    <x v="0"/>
    <n v="24"/>
    <s v="Active"/>
    <s v="M"/>
    <s v="25-34"/>
    <s v="Mid"/>
    <s v="M|Category A"/>
    <x v="0"/>
  </r>
  <r>
    <s v="EMP149"/>
    <x v="1"/>
    <n v="41"/>
    <s v="Category C"/>
    <s v="R&amp;D"/>
    <s v="Senior"/>
    <n v="980000"/>
    <x v="0"/>
    <n v="60"/>
    <s v="Active"/>
    <s v="F"/>
    <s v="35-44"/>
    <s v="Senior"/>
    <s v="F|Category C"/>
    <x v="0"/>
  </r>
  <r>
    <s v="EMP150"/>
    <x v="3"/>
    <n v="45"/>
    <s v="Category B"/>
    <s v="R&amp;D"/>
    <s v="Senior"/>
    <n v="1490000"/>
    <x v="1"/>
    <n v="59"/>
    <s v="Active"/>
    <s v="Undisclosed"/>
    <s v="45-54"/>
    <s v="Senior"/>
    <s v="Undisclosed|Category B"/>
    <x v="0"/>
  </r>
  <r>
    <s v="EMP151"/>
    <x v="0"/>
    <n v="24"/>
    <s v="Category A"/>
    <s v="R&amp;D"/>
    <s v="Entry"/>
    <n v="465000"/>
    <x v="0"/>
    <n v="16"/>
    <s v="Active"/>
    <s v="M"/>
    <s v="&lt;25"/>
    <s v="Entry"/>
    <s v="M|Category A"/>
    <x v="1"/>
  </r>
  <r>
    <s v="EMP152"/>
    <x v="3"/>
    <n v="27"/>
    <s v="Category A"/>
    <s v="Customer Service"/>
    <s v="Mid-Level"/>
    <n v="795000"/>
    <x v="1"/>
    <n v="19"/>
    <s v="Active"/>
    <s v="Undisclosed"/>
    <s v="25-34"/>
    <s v="Mid"/>
    <s v="Undisclosed|Category A"/>
    <x v="0"/>
  </r>
  <r>
    <s v="EMP153"/>
    <x v="1"/>
    <n v="35"/>
    <s v="Category A"/>
    <s v="R&amp;D"/>
    <s v="Mid-Level"/>
    <n v="985000"/>
    <x v="2"/>
    <n v="43"/>
    <s v="Exited"/>
    <s v="F"/>
    <s v="35-44"/>
    <s v="Mid"/>
    <s v="F|Category A"/>
    <x v="0"/>
  </r>
  <r>
    <s v="EMP154"/>
    <x v="0"/>
    <n v="27"/>
    <s v="Category C"/>
    <s v="HR"/>
    <s v="Mid-Level"/>
    <n v="835000"/>
    <x v="0"/>
    <n v="36"/>
    <s v="Exited"/>
    <s v="M"/>
    <s v="25-34"/>
    <s v="Mid"/>
    <s v="M|Category C"/>
    <x v="0"/>
  </r>
  <r>
    <s v="EMP155"/>
    <x v="0"/>
    <n v="30"/>
    <s v="Category B"/>
    <s v="Customer Service"/>
    <s v="Junior"/>
    <n v="630000"/>
    <x v="0"/>
    <n v="29"/>
    <s v="Active"/>
    <s v="M"/>
    <s v="25-34"/>
    <s v="Entry"/>
    <s v="M|Category B"/>
    <x v="1"/>
  </r>
  <r>
    <s v="EMP156"/>
    <x v="0"/>
    <n v="41"/>
    <s v="Category C"/>
    <s v="IT"/>
    <s v="Senior"/>
    <n v="955000"/>
    <x v="2"/>
    <n v="41"/>
    <s v="Active"/>
    <s v="M"/>
    <s v="35-44"/>
    <s v="Senior"/>
    <s v="M|Category C"/>
    <x v="0"/>
  </r>
  <r>
    <s v="EMP157"/>
    <x v="0"/>
    <n v="25"/>
    <s v="Category D"/>
    <s v="Customer Service"/>
    <s v="Junior"/>
    <n v="575000"/>
    <x v="0"/>
    <n v="31"/>
    <s v="Active"/>
    <s v="M"/>
    <s v="25-34"/>
    <s v="Entry"/>
    <s v="M|Category D"/>
    <x v="1"/>
  </r>
  <r>
    <s v="EMP158"/>
    <x v="0"/>
    <n v="26"/>
    <s v="Category A"/>
    <s v="Finance"/>
    <s v="Entry"/>
    <n v="320000"/>
    <x v="0"/>
    <n v="20"/>
    <s v="Active"/>
    <s v="M"/>
    <s v="25-34"/>
    <s v="Entry"/>
    <s v="M|Category A"/>
    <x v="1"/>
  </r>
  <r>
    <s v="EMP159"/>
    <x v="2"/>
    <n v="33"/>
    <s v="Category B"/>
    <s v="R&amp;D"/>
    <s v="Mid-Level"/>
    <n v="865000"/>
    <x v="0"/>
    <n v="38"/>
    <s v="Active"/>
    <s v="Other"/>
    <s v="25-34"/>
    <s v="Mid"/>
    <s v="Other|Category B"/>
    <x v="0"/>
  </r>
  <r>
    <s v="EMP160"/>
    <x v="1"/>
    <n v="25"/>
    <s v="Category B"/>
    <s v="HR"/>
    <s v="Junior"/>
    <n v="480000"/>
    <x v="0"/>
    <n v="37"/>
    <s v="Active"/>
    <s v="F"/>
    <s v="25-34"/>
    <s v="Entry"/>
    <s v="F|Category B"/>
    <x v="1"/>
  </r>
  <r>
    <s v="EMP161"/>
    <x v="1"/>
    <n v="45"/>
    <s v="Category C"/>
    <s v="Marketing"/>
    <s v="Senior"/>
    <n v="1035000"/>
    <x v="1"/>
    <n v="29"/>
    <s v="Active"/>
    <s v="F"/>
    <s v="45-54"/>
    <s v="Senior"/>
    <s v="F|Category C"/>
    <x v="0"/>
  </r>
  <r>
    <s v="EMP162"/>
    <x v="1"/>
    <n v="31"/>
    <s v="Category C"/>
    <s v="R&amp;D"/>
    <s v="Senior"/>
    <n v="1330000"/>
    <x v="0"/>
    <n v="35"/>
    <s v="Exited"/>
    <s v="F"/>
    <s v="25-34"/>
    <s v="Senior"/>
    <s v="F|Category C"/>
    <x v="0"/>
  </r>
  <r>
    <s v="EMP163"/>
    <x v="1"/>
    <n v="26"/>
    <s v="Category B"/>
    <s v="R&amp;D"/>
    <s v="Junior"/>
    <n v="560000"/>
    <x v="1"/>
    <n v="35"/>
    <s v="Active"/>
    <s v="F"/>
    <s v="25-34"/>
    <s v="Entry"/>
    <s v="F|Category B"/>
    <x v="1"/>
  </r>
  <r>
    <s v="EMP164"/>
    <x v="1"/>
    <n v="31"/>
    <s v="Category D"/>
    <s v="Marketing"/>
    <s v="Mid-Level"/>
    <n v="800000"/>
    <x v="1"/>
    <n v="41"/>
    <s v="Exited"/>
    <s v="F"/>
    <s v="25-34"/>
    <s v="Mid"/>
    <s v="F|Category D"/>
    <x v="0"/>
  </r>
  <r>
    <s v="EMP165"/>
    <x v="0"/>
    <n v="36"/>
    <s v="Category D"/>
    <s v="Finance"/>
    <s v="Manager"/>
    <n v="1970000"/>
    <x v="1"/>
    <n v="48"/>
    <s v="Active"/>
    <s v="M"/>
    <s v="35-44"/>
    <s v="Leadership"/>
    <s v="M|Category D"/>
    <x v="0"/>
  </r>
  <r>
    <s v="EMP166"/>
    <x v="0"/>
    <n v="25"/>
    <s v="Category D"/>
    <s v="Sales"/>
    <s v="Junior"/>
    <n v="545000"/>
    <x v="0"/>
    <n v="26"/>
    <s v="Active"/>
    <s v="M"/>
    <s v="25-34"/>
    <s v="Entry"/>
    <s v="M|Category D"/>
    <x v="1"/>
  </r>
  <r>
    <s v="EMP167"/>
    <x v="1"/>
    <n v="45"/>
    <s v="Category A"/>
    <s v="Finance"/>
    <s v="Senior"/>
    <n v="1265000"/>
    <x v="3"/>
    <n v="46"/>
    <s v="Active"/>
    <s v="F"/>
    <s v="45-54"/>
    <s v="Senior"/>
    <s v="F|Category A"/>
    <x v="0"/>
  </r>
  <r>
    <s v="EMP168"/>
    <x v="0"/>
    <n v="23"/>
    <s v="Category A"/>
    <s v="HR"/>
    <s v="Junior"/>
    <n v="565000"/>
    <x v="1"/>
    <n v="36"/>
    <s v="Active"/>
    <s v="M"/>
    <s v="&lt;25"/>
    <s v="Entry"/>
    <s v="M|Category A"/>
    <x v="1"/>
  </r>
  <r>
    <s v="EMP169"/>
    <x v="0"/>
    <n v="30"/>
    <s v="Category A"/>
    <s v="IT"/>
    <s v="Junior"/>
    <n v="475000"/>
    <x v="1"/>
    <n v="25"/>
    <s v="Active"/>
    <s v="M"/>
    <s v="25-34"/>
    <s v="Entry"/>
    <s v="M|Category A"/>
    <x v="1"/>
  </r>
  <r>
    <s v="EMP170"/>
    <x v="0"/>
    <n v="25"/>
    <s v="Category B"/>
    <s v="IT"/>
    <s v="Junior"/>
    <n v="690000"/>
    <x v="1"/>
    <n v="29"/>
    <s v="Active"/>
    <s v="M"/>
    <s v="25-34"/>
    <s v="Entry"/>
    <s v="M|Category B"/>
    <x v="1"/>
  </r>
  <r>
    <s v="EMP171"/>
    <x v="0"/>
    <n v="22"/>
    <s v="Category D"/>
    <s v="HR"/>
    <s v="Entry"/>
    <n v="410000"/>
    <x v="0"/>
    <n v="27"/>
    <s v="Active"/>
    <s v="M"/>
    <s v="&lt;25"/>
    <s v="Entry"/>
    <s v="M|Category D"/>
    <x v="1"/>
  </r>
  <r>
    <s v="EMP172"/>
    <x v="1"/>
    <n v="36"/>
    <s v="Category A"/>
    <s v="Customer Service"/>
    <s v="Mid-Level"/>
    <n v="725000"/>
    <x v="1"/>
    <n v="33"/>
    <s v="Active"/>
    <s v="F"/>
    <s v="35-44"/>
    <s v="Mid"/>
    <s v="F|Category A"/>
    <x v="0"/>
  </r>
  <r>
    <s v="EMP173"/>
    <x v="1"/>
    <n v="24"/>
    <s v="Category D"/>
    <s v="HR"/>
    <s v="Junior"/>
    <n v="675000"/>
    <x v="1"/>
    <n v="12"/>
    <s v="Exited"/>
    <s v="F"/>
    <s v="&lt;25"/>
    <s v="Entry"/>
    <s v="F|Category D"/>
    <x v="1"/>
  </r>
  <r>
    <s v="EMP174"/>
    <x v="0"/>
    <n v="30"/>
    <s v="Category D"/>
    <s v="Operations"/>
    <s v="Junior"/>
    <n v="425000"/>
    <x v="0"/>
    <n v="21"/>
    <s v="Active"/>
    <s v="M"/>
    <s v="25-34"/>
    <s v="Entry"/>
    <s v="M|Category D"/>
    <x v="1"/>
  </r>
  <r>
    <s v="EMP175"/>
    <x v="1"/>
    <n v="24"/>
    <s v="Category A"/>
    <s v="R&amp;D"/>
    <s v="Junior"/>
    <n v="575000"/>
    <x v="0"/>
    <n v="21"/>
    <s v="Active"/>
    <s v="F"/>
    <s v="&lt;25"/>
    <s v="Entry"/>
    <s v="F|Category A"/>
    <x v="1"/>
  </r>
  <r>
    <s v="EMP176"/>
    <x v="1"/>
    <n v="55"/>
    <s v="Category B"/>
    <s v="IT"/>
    <s v="Senior Manager"/>
    <n v="2460000"/>
    <x v="0"/>
    <n v="38"/>
    <s v="Active"/>
    <s v="F"/>
    <s v="55+"/>
    <s v="Leadership"/>
    <s v="F|Category B"/>
    <x v="0"/>
  </r>
  <r>
    <s v="EMP177"/>
    <x v="3"/>
    <n v="26"/>
    <s v="Category B"/>
    <s v="IT"/>
    <s v="Junior"/>
    <n v="420000"/>
    <x v="0"/>
    <n v="19"/>
    <s v="Active"/>
    <s v="Undisclosed"/>
    <s v="25-34"/>
    <s v="Entry"/>
    <s v="Undisclosed|Category B"/>
    <x v="1"/>
  </r>
  <r>
    <s v="EMP178"/>
    <x v="0"/>
    <n v="26"/>
    <s v="Category A"/>
    <s v="Operations"/>
    <s v="Entry"/>
    <n v="350000"/>
    <x v="0"/>
    <n v="9"/>
    <s v="Exited"/>
    <s v="M"/>
    <s v="25-34"/>
    <s v="Entry"/>
    <s v="M|Category A"/>
    <x v="1"/>
  </r>
  <r>
    <s v="EMP179"/>
    <x v="0"/>
    <n v="33"/>
    <s v="Category C"/>
    <s v="Operations"/>
    <s v="Mid-Level"/>
    <n v="990000"/>
    <x v="0"/>
    <n v="39"/>
    <s v="Active"/>
    <s v="M"/>
    <s v="25-34"/>
    <s v="Mid"/>
    <s v="M|Category C"/>
    <x v="0"/>
  </r>
  <r>
    <s v="EMP180"/>
    <x v="1"/>
    <n v="51"/>
    <s v="Category D"/>
    <s v="IT"/>
    <s v="Manager"/>
    <n v="1580000"/>
    <x v="2"/>
    <n v="52"/>
    <s v="Active"/>
    <s v="F"/>
    <s v="45-54"/>
    <s v="Leadership"/>
    <s v="F|Category D"/>
    <x v="0"/>
  </r>
  <r>
    <s v="EMP181"/>
    <x v="1"/>
    <n v="24"/>
    <s v="Category A"/>
    <s v="R&amp;D"/>
    <s v="Junior"/>
    <n v="570000"/>
    <x v="0"/>
    <n v="19"/>
    <s v="Active"/>
    <s v="F"/>
    <s v="&lt;25"/>
    <s v="Entry"/>
    <s v="F|Category A"/>
    <x v="1"/>
  </r>
  <r>
    <s v="EMP182"/>
    <x v="3"/>
    <n v="23"/>
    <s v="Category D"/>
    <s v="Finance"/>
    <s v="Junior"/>
    <n v="585000"/>
    <x v="0"/>
    <n v="23"/>
    <s v="Active"/>
    <s v="Undisclosed"/>
    <s v="&lt;25"/>
    <s v="Entry"/>
    <s v="Undisclosed|Category D"/>
    <x v="1"/>
  </r>
  <r>
    <s v="EMP183"/>
    <x v="0"/>
    <n v="37"/>
    <s v="Category C"/>
    <s v="R&amp;D"/>
    <s v="Senior"/>
    <n v="1280000"/>
    <x v="1"/>
    <n v="30"/>
    <s v="Exited"/>
    <s v="M"/>
    <s v="35-44"/>
    <s v="Senior"/>
    <s v="M|Category C"/>
    <x v="0"/>
  </r>
  <r>
    <s v="EMP184"/>
    <x v="2"/>
    <n v="21"/>
    <s v="Category A"/>
    <s v="Marketing"/>
    <s v="Entry"/>
    <n v="360000"/>
    <x v="1"/>
    <n v="19"/>
    <s v="Active"/>
    <s v="Other"/>
    <s v="&lt;25"/>
    <s v="Entry"/>
    <s v="Other|Category A"/>
    <x v="1"/>
  </r>
  <r>
    <s v="EMP185"/>
    <x v="1"/>
    <n v="36"/>
    <s v="Category B"/>
    <s v="IT"/>
    <s v="Senior"/>
    <n v="1290000"/>
    <x v="1"/>
    <n v="24"/>
    <s v="Active"/>
    <s v="F"/>
    <s v="35-44"/>
    <s v="Senior"/>
    <s v="F|Category B"/>
    <x v="0"/>
  </r>
  <r>
    <s v="EMP186"/>
    <x v="1"/>
    <n v="24"/>
    <s v="Category A"/>
    <s v="IT"/>
    <s v="Junior"/>
    <n v="415000"/>
    <x v="1"/>
    <n v="25"/>
    <s v="Active"/>
    <s v="F"/>
    <s v="&lt;25"/>
    <s v="Entry"/>
    <s v="F|Category A"/>
    <x v="1"/>
  </r>
  <r>
    <s v="EMP187"/>
    <x v="0"/>
    <n v="34"/>
    <s v="Category A"/>
    <s v="Marketing"/>
    <s v="Senior"/>
    <n v="1200000"/>
    <x v="1"/>
    <n v="51"/>
    <s v="Active"/>
    <s v="M"/>
    <s v="25-34"/>
    <s v="Senior"/>
    <s v="M|Category A"/>
    <x v="0"/>
  </r>
  <r>
    <s v="EMP188"/>
    <x v="1"/>
    <n v="49"/>
    <s v="Category B"/>
    <s v="IT"/>
    <s v="Manager"/>
    <n v="1390000"/>
    <x v="2"/>
    <n v="45"/>
    <s v="Active"/>
    <s v="F"/>
    <s v="45-54"/>
    <s v="Leadership"/>
    <s v="F|Category B"/>
    <x v="0"/>
  </r>
  <r>
    <s v="EMP189"/>
    <x v="0"/>
    <n v="40"/>
    <s v="Category A"/>
    <s v="Marketing"/>
    <s v="Manager"/>
    <n v="1970000"/>
    <x v="0"/>
    <n v="48"/>
    <s v="Active"/>
    <s v="M"/>
    <s v="35-44"/>
    <s v="Leadership"/>
    <s v="M|Category A"/>
    <x v="0"/>
  </r>
  <r>
    <s v="EMP190"/>
    <x v="1"/>
    <n v="30"/>
    <s v="Category C"/>
    <s v="Finance"/>
    <s v="Junior"/>
    <n v="415000"/>
    <x v="0"/>
    <n v="28"/>
    <s v="Active"/>
    <s v="F"/>
    <s v="25-34"/>
    <s v="Entry"/>
    <s v="F|Category C"/>
    <x v="1"/>
  </r>
  <r>
    <s v="EMP191"/>
    <x v="0"/>
    <n v="24"/>
    <s v="Category C"/>
    <s v="Marketing"/>
    <s v="Entry"/>
    <n v="490000"/>
    <x v="1"/>
    <n v="24"/>
    <s v="Active"/>
    <s v="M"/>
    <s v="&lt;25"/>
    <s v="Entry"/>
    <s v="M|Category C"/>
    <x v="1"/>
  </r>
  <r>
    <s v="EMP192"/>
    <x v="0"/>
    <n v="60"/>
    <s v="Category D"/>
    <s v="Marketing"/>
    <s v="Senior Manager"/>
    <n v="1880000"/>
    <x v="1"/>
    <n v="73"/>
    <s v="Active"/>
    <s v="M"/>
    <s v="55+"/>
    <s v="Leadership"/>
    <s v="M|Category D"/>
    <x v="0"/>
  </r>
  <r>
    <s v="EMP193"/>
    <x v="1"/>
    <n v="33"/>
    <s v="Category B"/>
    <s v="Marketing"/>
    <s v="Senior"/>
    <n v="1355000"/>
    <x v="1"/>
    <n v="23"/>
    <s v="Active"/>
    <s v="F"/>
    <s v="25-34"/>
    <s v="Senior"/>
    <s v="F|Category B"/>
    <x v="0"/>
  </r>
  <r>
    <s v="EMP194"/>
    <x v="1"/>
    <n v="26"/>
    <s v="Category A"/>
    <s v="IT"/>
    <s v="Junior"/>
    <n v="580000"/>
    <x v="1"/>
    <n v="26"/>
    <s v="Exited"/>
    <s v="F"/>
    <s v="25-34"/>
    <s v="Entry"/>
    <s v="F|Category A"/>
    <x v="1"/>
  </r>
  <r>
    <s v="EMP195"/>
    <x v="1"/>
    <n v="23"/>
    <s v="Category C"/>
    <s v="Marketing"/>
    <s v="Entry"/>
    <n v="460000"/>
    <x v="0"/>
    <n v="24"/>
    <s v="Active"/>
    <s v="F"/>
    <s v="&lt;25"/>
    <s v="Entry"/>
    <s v="F|Category C"/>
    <x v="1"/>
  </r>
  <r>
    <s v="EMP196"/>
    <x v="1"/>
    <n v="42"/>
    <s v="Category A"/>
    <s v="IT"/>
    <s v="Senior"/>
    <n v="1255000"/>
    <x v="2"/>
    <n v="56"/>
    <s v="Active"/>
    <s v="F"/>
    <s v="35-44"/>
    <s v="Senior"/>
    <s v="F|Category A"/>
    <x v="0"/>
  </r>
  <r>
    <s v="EMP197"/>
    <x v="1"/>
    <n v="43"/>
    <s v="Category B"/>
    <s v="IT"/>
    <s v="Senior"/>
    <n v="1500000"/>
    <x v="1"/>
    <n v="60"/>
    <s v="Active"/>
    <s v="F"/>
    <s v="35-44"/>
    <s v="Senior"/>
    <s v="F|Category B"/>
    <x v="0"/>
  </r>
  <r>
    <s v="EMP198"/>
    <x v="0"/>
    <n v="37"/>
    <s v="Category B"/>
    <s v="R&amp;D"/>
    <s v="Mid-Level"/>
    <n v="815000"/>
    <x v="0"/>
    <n v="19"/>
    <s v="Active"/>
    <s v="M"/>
    <s v="35-44"/>
    <s v="Mid"/>
    <s v="M|Category B"/>
    <x v="0"/>
  </r>
  <r>
    <s v="EMP199"/>
    <x v="1"/>
    <n v="25"/>
    <s v="Prefer Not to Say"/>
    <s v="Marketing"/>
    <s v="Junior"/>
    <n v="565000"/>
    <x v="1"/>
    <n v="20"/>
    <s v="Active"/>
    <s v="F"/>
    <s v="25-34"/>
    <s v="Entry"/>
    <s v="F|Prefer Not to Say"/>
    <x v="1"/>
  </r>
  <r>
    <s v="EMP200"/>
    <x v="0"/>
    <n v="39"/>
    <s v="Category A"/>
    <s v="Finance"/>
    <s v="Senior"/>
    <n v="1490000"/>
    <x v="0"/>
    <n v="35"/>
    <s v="Active"/>
    <s v="M"/>
    <s v="35-44"/>
    <s v="Senior"/>
    <s v="M|Category A"/>
    <x v="0"/>
  </r>
  <r>
    <m/>
    <x v="4"/>
    <m/>
    <m/>
    <m/>
    <m/>
    <m/>
    <x v="4"/>
    <m/>
    <m/>
    <m/>
    <m/>
    <m/>
    <m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00">
  <r>
    <s v="EMP001"/>
    <x v="0"/>
    <n v="27"/>
    <x v="0"/>
    <x v="0"/>
    <s v="Mid-Level"/>
    <n v="990000"/>
    <n v="0"/>
    <n v="29"/>
    <x v="0"/>
    <s v="M"/>
    <s v="25-34"/>
    <s v="Mid"/>
    <s v="M|Category C"/>
    <x v="0"/>
    <x v="0"/>
  </r>
  <r>
    <s v="EMP002"/>
    <x v="0"/>
    <n v="27"/>
    <x v="1"/>
    <x v="1"/>
    <s v="Mid-Level"/>
    <n v="615000"/>
    <n v="0"/>
    <n v="29"/>
    <x v="0"/>
    <s v="M"/>
    <s v="25-34"/>
    <s v="Mid"/>
    <s v="M|Category A"/>
    <x v="0"/>
    <x v="0"/>
  </r>
  <r>
    <s v="EMP003"/>
    <x v="0"/>
    <n v="27"/>
    <x v="1"/>
    <x v="2"/>
    <s v="Junior"/>
    <n v="405000"/>
    <n v="1"/>
    <n v="15"/>
    <x v="0"/>
    <s v="M"/>
    <s v="25-34"/>
    <s v="Entry"/>
    <s v="M|Category A"/>
    <x v="1"/>
    <x v="0"/>
  </r>
  <r>
    <s v="EMP004"/>
    <x v="1"/>
    <n v="24"/>
    <x v="0"/>
    <x v="0"/>
    <s v="Entry"/>
    <n v="325000"/>
    <n v="0"/>
    <n v="19"/>
    <x v="0"/>
    <s v="F"/>
    <s v="&lt;25"/>
    <s v="Entry"/>
    <s v="F|Category C"/>
    <x v="1"/>
    <x v="0"/>
  </r>
  <r>
    <s v="EMP005"/>
    <x v="1"/>
    <n v="52"/>
    <x v="0"/>
    <x v="0"/>
    <s v="Senior Manager"/>
    <n v="1885000"/>
    <n v="1"/>
    <n v="70"/>
    <x v="0"/>
    <s v="F"/>
    <s v="45-54"/>
    <s v="Leadership"/>
    <s v="F|Category C"/>
    <x v="0"/>
    <x v="0"/>
  </r>
  <r>
    <s v="EMP006"/>
    <x v="0"/>
    <n v="22"/>
    <x v="2"/>
    <x v="2"/>
    <s v="Entry"/>
    <n v="375000"/>
    <n v="1"/>
    <n v="15"/>
    <x v="1"/>
    <s v="M"/>
    <s v="&lt;25"/>
    <s v="Entry"/>
    <s v="M|Category B"/>
    <x v="1"/>
    <x v="0"/>
  </r>
  <r>
    <s v="EMP007"/>
    <x v="1"/>
    <n v="23"/>
    <x v="0"/>
    <x v="3"/>
    <s v="Entry"/>
    <n v="355000"/>
    <n v="1"/>
    <n v="30"/>
    <x v="1"/>
    <s v="F"/>
    <s v="&lt;25"/>
    <s v="Entry"/>
    <s v="F|Category C"/>
    <x v="1"/>
    <x v="0"/>
  </r>
  <r>
    <s v="EMP008"/>
    <x v="1"/>
    <n v="30"/>
    <x v="0"/>
    <x v="2"/>
    <s v="Mid-Level"/>
    <n v="685000"/>
    <n v="0"/>
    <n v="32"/>
    <x v="1"/>
    <s v="F"/>
    <s v="25-34"/>
    <s v="Mid"/>
    <s v="F|Category C"/>
    <x v="0"/>
    <x v="0"/>
  </r>
  <r>
    <s v="EMP009"/>
    <x v="0"/>
    <n v="43"/>
    <x v="1"/>
    <x v="2"/>
    <s v="Senior"/>
    <n v="960000"/>
    <n v="0"/>
    <n v="22"/>
    <x v="0"/>
    <s v="M"/>
    <s v="35-44"/>
    <s v="Senior"/>
    <s v="M|Category A"/>
    <x v="0"/>
    <x v="0"/>
  </r>
  <r>
    <s v="EMP010"/>
    <x v="0"/>
    <n v="30"/>
    <x v="1"/>
    <x v="4"/>
    <s v="Junior"/>
    <n v="605000"/>
    <n v="1"/>
    <n v="30"/>
    <x v="0"/>
    <s v="M"/>
    <s v="25-34"/>
    <s v="Entry"/>
    <s v="M|Category A"/>
    <x v="1"/>
    <x v="0"/>
  </r>
  <r>
    <s v="EMP011"/>
    <x v="0"/>
    <n v="37"/>
    <x v="1"/>
    <x v="0"/>
    <s v="Senior"/>
    <n v="1320000"/>
    <n v="0"/>
    <n v="28"/>
    <x v="0"/>
    <s v="M"/>
    <s v="35-44"/>
    <s v="Senior"/>
    <s v="M|Category A"/>
    <x v="0"/>
    <x v="0"/>
  </r>
  <r>
    <s v="EMP012"/>
    <x v="1"/>
    <n v="22"/>
    <x v="2"/>
    <x v="4"/>
    <s v="Entry"/>
    <n v="480000"/>
    <n v="0"/>
    <n v="10"/>
    <x v="0"/>
    <s v="F"/>
    <s v="&lt;25"/>
    <s v="Entry"/>
    <s v="F|Category B"/>
    <x v="1"/>
    <x v="1"/>
  </r>
  <r>
    <s v="EMP013"/>
    <x v="1"/>
    <n v="40"/>
    <x v="0"/>
    <x v="2"/>
    <s v="Senior Manager"/>
    <n v="2515000"/>
    <n v="2"/>
    <n v="73"/>
    <x v="1"/>
    <s v="F"/>
    <s v="35-44"/>
    <s v="Leadership"/>
    <s v="F|Category C"/>
    <x v="0"/>
    <x v="0"/>
  </r>
  <r>
    <s v="EMP014"/>
    <x v="1"/>
    <n v="24"/>
    <x v="2"/>
    <x v="0"/>
    <s v="Entry"/>
    <n v="340000"/>
    <n v="0"/>
    <n v="16"/>
    <x v="1"/>
    <s v="F"/>
    <s v="&lt;25"/>
    <s v="Entry"/>
    <s v="F|Category B"/>
    <x v="1"/>
    <x v="0"/>
  </r>
  <r>
    <s v="EMP015"/>
    <x v="1"/>
    <n v="44"/>
    <x v="2"/>
    <x v="5"/>
    <s v="Manager"/>
    <n v="1970000"/>
    <n v="1"/>
    <n v="37"/>
    <x v="0"/>
    <s v="F"/>
    <s v="35-44"/>
    <s v="Leadership"/>
    <s v="F|Category B"/>
    <x v="0"/>
    <x v="0"/>
  </r>
  <r>
    <s v="EMP016"/>
    <x v="1"/>
    <n v="34"/>
    <x v="2"/>
    <x v="5"/>
    <s v="Mid-Level"/>
    <n v="610000"/>
    <n v="0"/>
    <n v="38"/>
    <x v="1"/>
    <s v="F"/>
    <s v="25-34"/>
    <s v="Mid"/>
    <s v="F|Category B"/>
    <x v="0"/>
    <x v="0"/>
  </r>
  <r>
    <s v="EMP017"/>
    <x v="1"/>
    <n v="24"/>
    <x v="0"/>
    <x v="3"/>
    <s v="Junior"/>
    <n v="445000"/>
    <n v="1"/>
    <n v="36"/>
    <x v="0"/>
    <s v="F"/>
    <s v="&lt;25"/>
    <s v="Entry"/>
    <s v="F|Category C"/>
    <x v="1"/>
    <x v="0"/>
  </r>
  <r>
    <s v="EMP018"/>
    <x v="0"/>
    <n v="39"/>
    <x v="2"/>
    <x v="6"/>
    <s v="Senior"/>
    <n v="1075000"/>
    <n v="0"/>
    <n v="58"/>
    <x v="0"/>
    <s v="M"/>
    <s v="35-44"/>
    <s v="Senior"/>
    <s v="M|Category B"/>
    <x v="0"/>
    <x v="0"/>
  </r>
  <r>
    <s v="EMP019"/>
    <x v="0"/>
    <n v="37"/>
    <x v="1"/>
    <x v="5"/>
    <s v="Senior"/>
    <n v="1290000"/>
    <n v="1"/>
    <n v="53"/>
    <x v="0"/>
    <s v="M"/>
    <s v="35-44"/>
    <s v="Senior"/>
    <s v="M|Category A"/>
    <x v="0"/>
    <x v="0"/>
  </r>
  <r>
    <s v="EMP020"/>
    <x v="0"/>
    <n v="30"/>
    <x v="1"/>
    <x v="5"/>
    <s v="Mid-Level"/>
    <n v="910000"/>
    <n v="0"/>
    <n v="19"/>
    <x v="0"/>
    <s v="M"/>
    <s v="25-34"/>
    <s v="Mid"/>
    <s v="M|Category A"/>
    <x v="0"/>
    <x v="0"/>
  </r>
  <r>
    <s v="EMP021"/>
    <x v="1"/>
    <n v="37"/>
    <x v="0"/>
    <x v="7"/>
    <s v="Manager"/>
    <n v="1840000"/>
    <n v="0"/>
    <n v="67"/>
    <x v="0"/>
    <s v="F"/>
    <s v="35-44"/>
    <s v="Leadership"/>
    <s v="F|Category C"/>
    <x v="0"/>
    <x v="0"/>
  </r>
  <r>
    <s v="EMP022"/>
    <x v="0"/>
    <n v="30"/>
    <x v="2"/>
    <x v="5"/>
    <s v="Junior"/>
    <n v="615000"/>
    <n v="0"/>
    <n v="13"/>
    <x v="0"/>
    <s v="M"/>
    <s v="25-34"/>
    <s v="Entry"/>
    <s v="M|Category B"/>
    <x v="1"/>
    <x v="0"/>
  </r>
  <r>
    <s v="EMP023"/>
    <x v="0"/>
    <n v="41"/>
    <x v="1"/>
    <x v="7"/>
    <s v="Senior"/>
    <n v="1005000"/>
    <n v="0"/>
    <n v="41"/>
    <x v="0"/>
    <s v="M"/>
    <s v="35-44"/>
    <s v="Senior"/>
    <s v="M|Category A"/>
    <x v="0"/>
    <x v="0"/>
  </r>
  <r>
    <s v="EMP024"/>
    <x v="1"/>
    <n v="22"/>
    <x v="0"/>
    <x v="5"/>
    <s v="Entry"/>
    <n v="375000"/>
    <n v="0"/>
    <n v="10"/>
    <x v="0"/>
    <s v="F"/>
    <s v="&lt;25"/>
    <s v="Entry"/>
    <s v="F|Category C"/>
    <x v="1"/>
    <x v="1"/>
  </r>
  <r>
    <s v="EMP025"/>
    <x v="1"/>
    <n v="39"/>
    <x v="1"/>
    <x v="1"/>
    <s v="Senior"/>
    <n v="915000"/>
    <n v="3"/>
    <n v="35"/>
    <x v="0"/>
    <s v="F"/>
    <s v="35-44"/>
    <s v="Senior"/>
    <s v="F|Category A"/>
    <x v="0"/>
    <x v="0"/>
  </r>
  <r>
    <s v="EMP026"/>
    <x v="1"/>
    <n v="40"/>
    <x v="2"/>
    <x v="1"/>
    <s v="Manager"/>
    <n v="1695000"/>
    <n v="0"/>
    <n v="49"/>
    <x v="0"/>
    <s v="F"/>
    <s v="35-44"/>
    <s v="Leadership"/>
    <s v="F|Category B"/>
    <x v="0"/>
    <x v="0"/>
  </r>
  <r>
    <s v="EMP027"/>
    <x v="0"/>
    <n v="42"/>
    <x v="3"/>
    <x v="5"/>
    <s v="Senior"/>
    <n v="1485000"/>
    <n v="1"/>
    <n v="51"/>
    <x v="0"/>
    <s v="M"/>
    <s v="35-44"/>
    <s v="Senior"/>
    <s v="M|Category D"/>
    <x v="0"/>
    <x v="0"/>
  </r>
  <r>
    <s v="EMP028"/>
    <x v="1"/>
    <n v="31"/>
    <x v="1"/>
    <x v="0"/>
    <s v="Senior"/>
    <n v="955000"/>
    <n v="1"/>
    <n v="52"/>
    <x v="1"/>
    <s v="F"/>
    <s v="25-34"/>
    <s v="Senior"/>
    <s v="F|Category A"/>
    <x v="0"/>
    <x v="0"/>
  </r>
  <r>
    <s v="EMP029"/>
    <x v="2"/>
    <n v="37"/>
    <x v="0"/>
    <x v="5"/>
    <s v="Manager"/>
    <n v="1925000"/>
    <n v="0"/>
    <n v="40"/>
    <x v="0"/>
    <s v="Other"/>
    <s v="35-44"/>
    <s v="Leadership"/>
    <s v="Other|Category C"/>
    <x v="0"/>
    <x v="0"/>
  </r>
  <r>
    <s v="EMP030"/>
    <x v="0"/>
    <n v="33"/>
    <x v="0"/>
    <x v="2"/>
    <s v="Mid-Level"/>
    <n v="945000"/>
    <n v="1"/>
    <n v="48"/>
    <x v="0"/>
    <s v="M"/>
    <s v="25-34"/>
    <s v="Mid"/>
    <s v="M|Category C"/>
    <x v="0"/>
    <x v="0"/>
  </r>
  <r>
    <s v="EMP031"/>
    <x v="1"/>
    <n v="29"/>
    <x v="3"/>
    <x v="5"/>
    <s v="Junior"/>
    <n v="470000"/>
    <n v="1"/>
    <n v="19"/>
    <x v="0"/>
    <s v="F"/>
    <s v="25-34"/>
    <s v="Entry"/>
    <s v="F|Category D"/>
    <x v="1"/>
    <x v="0"/>
  </r>
  <r>
    <s v="EMP032"/>
    <x v="0"/>
    <n v="36"/>
    <x v="2"/>
    <x v="0"/>
    <s v="Mid-Level"/>
    <n v="650000"/>
    <n v="0"/>
    <n v="28"/>
    <x v="0"/>
    <s v="M"/>
    <s v="35-44"/>
    <s v="Mid"/>
    <s v="M|Category B"/>
    <x v="0"/>
    <x v="0"/>
  </r>
  <r>
    <s v="EMP033"/>
    <x v="1"/>
    <n v="46"/>
    <x v="4"/>
    <x v="5"/>
    <s v="Manager"/>
    <n v="1600000"/>
    <n v="0"/>
    <n v="59"/>
    <x v="0"/>
    <s v="F"/>
    <s v="45-54"/>
    <s v="Leadership"/>
    <s v="F|Prefer Not to Say"/>
    <x v="0"/>
    <x v="0"/>
  </r>
  <r>
    <s v="EMP034"/>
    <x v="0"/>
    <n v="39"/>
    <x v="1"/>
    <x v="0"/>
    <s v="Senior"/>
    <n v="1215000"/>
    <n v="3"/>
    <n v="26"/>
    <x v="1"/>
    <s v="M"/>
    <s v="35-44"/>
    <s v="Senior"/>
    <s v="M|Category A"/>
    <x v="0"/>
    <x v="0"/>
  </r>
  <r>
    <s v="EMP035"/>
    <x v="0"/>
    <n v="33"/>
    <x v="0"/>
    <x v="4"/>
    <s v="Senior"/>
    <n v="1185000"/>
    <n v="0"/>
    <n v="33"/>
    <x v="0"/>
    <s v="M"/>
    <s v="25-34"/>
    <s v="Senior"/>
    <s v="M|Category C"/>
    <x v="0"/>
    <x v="0"/>
  </r>
  <r>
    <s v="EMP036"/>
    <x v="0"/>
    <n v="31"/>
    <x v="2"/>
    <x v="3"/>
    <s v="Mid-Level"/>
    <n v="625000"/>
    <n v="0"/>
    <n v="42"/>
    <x v="0"/>
    <s v="M"/>
    <s v="25-34"/>
    <s v="Mid"/>
    <s v="M|Category B"/>
    <x v="0"/>
    <x v="0"/>
  </r>
  <r>
    <s v="EMP037"/>
    <x v="1"/>
    <n v="31"/>
    <x v="1"/>
    <x v="3"/>
    <s v="Mid-Level"/>
    <n v="685000"/>
    <n v="1"/>
    <n v="50"/>
    <x v="0"/>
    <s v="F"/>
    <s v="25-34"/>
    <s v="Mid"/>
    <s v="F|Category A"/>
    <x v="0"/>
    <x v="0"/>
  </r>
  <r>
    <s v="EMP038"/>
    <x v="0"/>
    <n v="32"/>
    <x v="3"/>
    <x v="5"/>
    <s v="Mid-Level"/>
    <n v="905000"/>
    <n v="1"/>
    <n v="42"/>
    <x v="0"/>
    <s v="M"/>
    <s v="25-34"/>
    <s v="Mid"/>
    <s v="M|Category D"/>
    <x v="0"/>
    <x v="0"/>
  </r>
  <r>
    <s v="EMP039"/>
    <x v="1"/>
    <n v="41"/>
    <x v="2"/>
    <x v="3"/>
    <s v="Manager"/>
    <n v="1560000"/>
    <n v="1"/>
    <n v="47"/>
    <x v="0"/>
    <s v="F"/>
    <s v="35-44"/>
    <s v="Leadership"/>
    <s v="F|Category B"/>
    <x v="0"/>
    <x v="0"/>
  </r>
  <r>
    <s v="EMP040"/>
    <x v="0"/>
    <n v="42"/>
    <x v="0"/>
    <x v="2"/>
    <s v="Manager"/>
    <n v="1470000"/>
    <n v="3"/>
    <n v="36"/>
    <x v="1"/>
    <s v="M"/>
    <s v="35-44"/>
    <s v="Leadership"/>
    <s v="M|Category C"/>
    <x v="0"/>
    <x v="0"/>
  </r>
  <r>
    <s v="EMP041"/>
    <x v="0"/>
    <n v="37"/>
    <x v="2"/>
    <x v="6"/>
    <s v="Senior"/>
    <n v="1160000"/>
    <n v="0"/>
    <n v="26"/>
    <x v="0"/>
    <s v="M"/>
    <s v="35-44"/>
    <s v="Senior"/>
    <s v="M|Category B"/>
    <x v="0"/>
    <x v="0"/>
  </r>
  <r>
    <s v="EMP042"/>
    <x v="1"/>
    <n v="38"/>
    <x v="2"/>
    <x v="4"/>
    <s v="Senior"/>
    <n v="1265000"/>
    <n v="0"/>
    <n v="34"/>
    <x v="0"/>
    <s v="F"/>
    <s v="35-44"/>
    <s v="Senior"/>
    <s v="F|Category B"/>
    <x v="0"/>
    <x v="0"/>
  </r>
  <r>
    <s v="EMP043"/>
    <x v="1"/>
    <n v="43"/>
    <x v="2"/>
    <x v="5"/>
    <s v="Manager"/>
    <n v="1670000"/>
    <n v="1"/>
    <n v="50"/>
    <x v="0"/>
    <s v="F"/>
    <s v="35-44"/>
    <s v="Leadership"/>
    <s v="F|Category B"/>
    <x v="0"/>
    <x v="0"/>
  </r>
  <r>
    <s v="EMP044"/>
    <x v="1"/>
    <n v="23"/>
    <x v="2"/>
    <x v="2"/>
    <s v="Entry"/>
    <n v="345000"/>
    <n v="0"/>
    <n v="16"/>
    <x v="0"/>
    <s v="F"/>
    <s v="&lt;25"/>
    <s v="Entry"/>
    <s v="F|Category B"/>
    <x v="1"/>
    <x v="0"/>
  </r>
  <r>
    <s v="EMP045"/>
    <x v="1"/>
    <n v="35"/>
    <x v="1"/>
    <x v="6"/>
    <s v="Mid-Level"/>
    <n v="660000"/>
    <n v="0"/>
    <n v="27"/>
    <x v="0"/>
    <s v="F"/>
    <s v="35-44"/>
    <s v="Mid"/>
    <s v="F|Category A"/>
    <x v="0"/>
    <x v="0"/>
  </r>
  <r>
    <s v="EMP046"/>
    <x v="1"/>
    <n v="24"/>
    <x v="2"/>
    <x v="4"/>
    <s v="Junior"/>
    <n v="575000"/>
    <n v="0"/>
    <n v="31"/>
    <x v="0"/>
    <s v="F"/>
    <s v="&lt;25"/>
    <s v="Entry"/>
    <s v="F|Category B"/>
    <x v="1"/>
    <x v="0"/>
  </r>
  <r>
    <s v="EMP047"/>
    <x v="0"/>
    <n v="36"/>
    <x v="3"/>
    <x v="3"/>
    <s v="Senior"/>
    <n v="1320000"/>
    <n v="1"/>
    <n v="55"/>
    <x v="0"/>
    <s v="M"/>
    <s v="35-44"/>
    <s v="Senior"/>
    <s v="M|Category D"/>
    <x v="0"/>
    <x v="0"/>
  </r>
  <r>
    <s v="EMP048"/>
    <x v="0"/>
    <n v="31"/>
    <x v="3"/>
    <x v="2"/>
    <s v="Mid-Level"/>
    <n v="815000"/>
    <n v="1"/>
    <n v="15"/>
    <x v="0"/>
    <s v="M"/>
    <s v="25-34"/>
    <s v="Mid"/>
    <s v="M|Category D"/>
    <x v="0"/>
    <x v="0"/>
  </r>
  <r>
    <s v="EMP049"/>
    <x v="2"/>
    <n v="34"/>
    <x v="0"/>
    <x v="0"/>
    <s v="Mid-Level"/>
    <n v="955000"/>
    <n v="0"/>
    <n v="45"/>
    <x v="0"/>
    <s v="Other"/>
    <s v="25-34"/>
    <s v="Mid"/>
    <s v="Other|Category C"/>
    <x v="0"/>
    <x v="0"/>
  </r>
  <r>
    <s v="EMP050"/>
    <x v="0"/>
    <n v="28"/>
    <x v="3"/>
    <x v="3"/>
    <s v="Junior"/>
    <n v="450000"/>
    <n v="1"/>
    <n v="34"/>
    <x v="0"/>
    <s v="M"/>
    <s v="25-34"/>
    <s v="Entry"/>
    <s v="M|Category D"/>
    <x v="1"/>
    <x v="0"/>
  </r>
  <r>
    <s v="EMP051"/>
    <x v="1"/>
    <n v="22"/>
    <x v="0"/>
    <x v="1"/>
    <s v="Entry"/>
    <n v="425000"/>
    <n v="0"/>
    <n v="10"/>
    <x v="0"/>
    <s v="F"/>
    <s v="&lt;25"/>
    <s v="Entry"/>
    <s v="F|Category C"/>
    <x v="1"/>
    <x v="1"/>
  </r>
  <r>
    <s v="EMP052"/>
    <x v="1"/>
    <n v="30"/>
    <x v="3"/>
    <x v="1"/>
    <s v="Mid-Level"/>
    <n v="675000"/>
    <n v="1"/>
    <n v="15"/>
    <x v="1"/>
    <s v="F"/>
    <s v="25-34"/>
    <s v="Mid"/>
    <s v="F|Category D"/>
    <x v="0"/>
    <x v="0"/>
  </r>
  <r>
    <s v="EMP053"/>
    <x v="0"/>
    <n v="31"/>
    <x v="1"/>
    <x v="7"/>
    <s v="Junior"/>
    <n v="645000"/>
    <n v="0"/>
    <n v="17"/>
    <x v="1"/>
    <s v="M"/>
    <s v="25-34"/>
    <s v="Entry"/>
    <s v="M|Category A"/>
    <x v="1"/>
    <x v="0"/>
  </r>
  <r>
    <s v="EMP054"/>
    <x v="1"/>
    <n v="39"/>
    <x v="2"/>
    <x v="7"/>
    <s v="Senior"/>
    <n v="1235000"/>
    <n v="3"/>
    <n v="48"/>
    <x v="0"/>
    <s v="F"/>
    <s v="35-44"/>
    <s v="Senior"/>
    <s v="F|Category B"/>
    <x v="0"/>
    <x v="0"/>
  </r>
  <r>
    <s v="EMP055"/>
    <x v="0"/>
    <n v="50"/>
    <x v="0"/>
    <x v="7"/>
    <s v="Manager"/>
    <n v="1770000"/>
    <n v="0"/>
    <n v="40"/>
    <x v="0"/>
    <s v="M"/>
    <s v="45-54"/>
    <s v="Leadership"/>
    <s v="M|Category C"/>
    <x v="0"/>
    <x v="0"/>
  </r>
  <r>
    <s v="EMP056"/>
    <x v="0"/>
    <n v="31"/>
    <x v="3"/>
    <x v="0"/>
    <s v="Mid-Level"/>
    <n v="830000"/>
    <n v="0"/>
    <n v="33"/>
    <x v="0"/>
    <s v="M"/>
    <s v="25-34"/>
    <s v="Mid"/>
    <s v="M|Category D"/>
    <x v="0"/>
    <x v="0"/>
  </r>
  <r>
    <s v="EMP057"/>
    <x v="0"/>
    <n v="22"/>
    <x v="2"/>
    <x v="7"/>
    <s v="Entry"/>
    <n v="400000"/>
    <n v="1"/>
    <n v="30"/>
    <x v="0"/>
    <s v="M"/>
    <s v="&lt;25"/>
    <s v="Entry"/>
    <s v="M|Category B"/>
    <x v="1"/>
    <x v="0"/>
  </r>
  <r>
    <s v="EMP058"/>
    <x v="1"/>
    <n v="30"/>
    <x v="2"/>
    <x v="5"/>
    <s v="Mid-Level"/>
    <n v="820000"/>
    <n v="0"/>
    <n v="16"/>
    <x v="1"/>
    <s v="F"/>
    <s v="25-34"/>
    <s v="Mid"/>
    <s v="F|Category B"/>
    <x v="0"/>
    <x v="0"/>
  </r>
  <r>
    <s v="EMP059"/>
    <x v="1"/>
    <n v="44"/>
    <x v="3"/>
    <x v="6"/>
    <s v="Manager"/>
    <n v="1710000"/>
    <n v="2"/>
    <n v="51"/>
    <x v="0"/>
    <s v="F"/>
    <s v="35-44"/>
    <s v="Leadership"/>
    <s v="F|Category D"/>
    <x v="0"/>
    <x v="0"/>
  </r>
  <r>
    <s v="EMP060"/>
    <x v="1"/>
    <n v="31"/>
    <x v="2"/>
    <x v="3"/>
    <s v="Mid-Level"/>
    <n v="830000"/>
    <n v="0"/>
    <n v="39"/>
    <x v="0"/>
    <s v="F"/>
    <s v="25-34"/>
    <s v="Mid"/>
    <s v="F|Category B"/>
    <x v="0"/>
    <x v="0"/>
  </r>
  <r>
    <s v="EMP061"/>
    <x v="0"/>
    <n v="45"/>
    <x v="0"/>
    <x v="5"/>
    <s v="Senior"/>
    <n v="1035000"/>
    <n v="3"/>
    <n v="54"/>
    <x v="0"/>
    <s v="M"/>
    <s v="45-54"/>
    <s v="Senior"/>
    <s v="M|Category C"/>
    <x v="0"/>
    <x v="0"/>
  </r>
  <r>
    <s v="EMP062"/>
    <x v="0"/>
    <n v="24"/>
    <x v="1"/>
    <x v="2"/>
    <s v="Entry"/>
    <n v="335000"/>
    <n v="1"/>
    <n v="13"/>
    <x v="0"/>
    <s v="M"/>
    <s v="&lt;25"/>
    <s v="Entry"/>
    <s v="M|Category A"/>
    <x v="1"/>
    <x v="0"/>
  </r>
  <r>
    <s v="EMP063"/>
    <x v="1"/>
    <n v="29"/>
    <x v="2"/>
    <x v="5"/>
    <s v="Junior"/>
    <n v="545000"/>
    <n v="1"/>
    <n v="36"/>
    <x v="0"/>
    <s v="F"/>
    <s v="25-34"/>
    <s v="Entry"/>
    <s v="F|Category B"/>
    <x v="1"/>
    <x v="0"/>
  </r>
  <r>
    <s v="EMP064"/>
    <x v="0"/>
    <n v="51"/>
    <x v="1"/>
    <x v="6"/>
    <s v="Senior Manager"/>
    <n v="2035000"/>
    <n v="1"/>
    <n v="79"/>
    <x v="1"/>
    <s v="M"/>
    <s v="45-54"/>
    <s v="Leadership"/>
    <s v="M|Category A"/>
    <x v="0"/>
    <x v="0"/>
  </r>
  <r>
    <s v="EMP065"/>
    <x v="1"/>
    <n v="23"/>
    <x v="1"/>
    <x v="4"/>
    <s v="Junior"/>
    <n v="480000"/>
    <n v="0"/>
    <n v="25"/>
    <x v="0"/>
    <s v="F"/>
    <s v="&lt;25"/>
    <s v="Entry"/>
    <s v="F|Category A"/>
    <x v="1"/>
    <x v="0"/>
  </r>
  <r>
    <s v="EMP066"/>
    <x v="0"/>
    <n v="33"/>
    <x v="1"/>
    <x v="4"/>
    <s v="Senior"/>
    <n v="1020000"/>
    <n v="2"/>
    <n v="30"/>
    <x v="1"/>
    <s v="M"/>
    <s v="25-34"/>
    <s v="Senior"/>
    <s v="M|Category A"/>
    <x v="0"/>
    <x v="0"/>
  </r>
  <r>
    <s v="EMP067"/>
    <x v="1"/>
    <n v="33"/>
    <x v="0"/>
    <x v="0"/>
    <s v="Mid-Level"/>
    <n v="810000"/>
    <n v="2"/>
    <n v="27"/>
    <x v="0"/>
    <s v="F"/>
    <s v="25-34"/>
    <s v="Mid"/>
    <s v="F|Category C"/>
    <x v="0"/>
    <x v="0"/>
  </r>
  <r>
    <s v="EMP068"/>
    <x v="0"/>
    <n v="35"/>
    <x v="2"/>
    <x v="2"/>
    <s v="Senior"/>
    <n v="1025000"/>
    <n v="2"/>
    <n v="56"/>
    <x v="0"/>
    <s v="M"/>
    <s v="35-44"/>
    <s v="Senior"/>
    <s v="M|Category B"/>
    <x v="0"/>
    <x v="0"/>
  </r>
  <r>
    <s v="EMP069"/>
    <x v="0"/>
    <n v="26"/>
    <x v="3"/>
    <x v="7"/>
    <s v="Entry"/>
    <n v="390000"/>
    <n v="0"/>
    <n v="21"/>
    <x v="0"/>
    <s v="M"/>
    <s v="25-34"/>
    <s v="Entry"/>
    <s v="M|Category D"/>
    <x v="1"/>
    <x v="0"/>
  </r>
  <r>
    <s v="EMP070"/>
    <x v="1"/>
    <n v="37"/>
    <x v="0"/>
    <x v="7"/>
    <s v="Senior"/>
    <n v="1085000"/>
    <n v="2"/>
    <n v="37"/>
    <x v="0"/>
    <s v="F"/>
    <s v="35-44"/>
    <s v="Senior"/>
    <s v="F|Category C"/>
    <x v="0"/>
    <x v="0"/>
  </r>
  <r>
    <s v="EMP071"/>
    <x v="0"/>
    <n v="38"/>
    <x v="3"/>
    <x v="6"/>
    <s v="Mid-Level"/>
    <n v="910000"/>
    <n v="0"/>
    <n v="30"/>
    <x v="0"/>
    <s v="M"/>
    <s v="35-44"/>
    <s v="Mid"/>
    <s v="M|Category D"/>
    <x v="0"/>
    <x v="0"/>
  </r>
  <r>
    <s v="EMP072"/>
    <x v="0"/>
    <n v="40"/>
    <x v="1"/>
    <x v="4"/>
    <s v="Senior"/>
    <n v="1295000"/>
    <n v="0"/>
    <n v="51"/>
    <x v="1"/>
    <s v="M"/>
    <s v="35-44"/>
    <s v="Senior"/>
    <s v="M|Category A"/>
    <x v="0"/>
    <x v="0"/>
  </r>
  <r>
    <s v="EMP073"/>
    <x v="0"/>
    <n v="27"/>
    <x v="2"/>
    <x v="6"/>
    <s v="Junior"/>
    <n v="690000"/>
    <n v="0"/>
    <n v="40"/>
    <x v="0"/>
    <s v="M"/>
    <s v="25-34"/>
    <s v="Entry"/>
    <s v="M|Category B"/>
    <x v="1"/>
    <x v="0"/>
  </r>
  <r>
    <s v="EMP074"/>
    <x v="0"/>
    <n v="41"/>
    <x v="0"/>
    <x v="4"/>
    <s v="Senior"/>
    <n v="1415000"/>
    <n v="1"/>
    <n v="21"/>
    <x v="0"/>
    <s v="M"/>
    <s v="35-44"/>
    <s v="Senior"/>
    <s v="M|Category C"/>
    <x v="0"/>
    <x v="0"/>
  </r>
  <r>
    <s v="EMP075"/>
    <x v="1"/>
    <n v="36"/>
    <x v="2"/>
    <x v="7"/>
    <s v="Senior"/>
    <n v="1395000"/>
    <n v="1"/>
    <n v="42"/>
    <x v="0"/>
    <s v="F"/>
    <s v="35-44"/>
    <s v="Senior"/>
    <s v="F|Category B"/>
    <x v="0"/>
    <x v="0"/>
  </r>
  <r>
    <s v="EMP076"/>
    <x v="1"/>
    <n v="27"/>
    <x v="3"/>
    <x v="3"/>
    <s v="Junior"/>
    <n v="520000"/>
    <n v="0"/>
    <n v="16"/>
    <x v="0"/>
    <s v="F"/>
    <s v="25-34"/>
    <s v="Entry"/>
    <s v="F|Category D"/>
    <x v="1"/>
    <x v="0"/>
  </r>
  <r>
    <s v="EMP077"/>
    <x v="0"/>
    <n v="30"/>
    <x v="1"/>
    <x v="6"/>
    <s v="Junior"/>
    <n v="545000"/>
    <n v="1"/>
    <n v="34"/>
    <x v="0"/>
    <s v="M"/>
    <s v="25-34"/>
    <s v="Entry"/>
    <s v="M|Category A"/>
    <x v="1"/>
    <x v="0"/>
  </r>
  <r>
    <s v="EMP078"/>
    <x v="0"/>
    <n v="28"/>
    <x v="4"/>
    <x v="4"/>
    <s v="Junior"/>
    <n v="495000"/>
    <n v="0"/>
    <n v="32"/>
    <x v="0"/>
    <s v="M"/>
    <s v="25-34"/>
    <s v="Entry"/>
    <s v="M|Prefer Not to Say"/>
    <x v="1"/>
    <x v="0"/>
  </r>
  <r>
    <s v="EMP079"/>
    <x v="0"/>
    <n v="33"/>
    <x v="2"/>
    <x v="3"/>
    <s v="Senior"/>
    <n v="1415000"/>
    <n v="0"/>
    <n v="20"/>
    <x v="0"/>
    <s v="M"/>
    <s v="25-34"/>
    <s v="Senior"/>
    <s v="M|Category B"/>
    <x v="0"/>
    <x v="0"/>
  </r>
  <r>
    <s v="EMP080"/>
    <x v="0"/>
    <n v="48"/>
    <x v="1"/>
    <x v="5"/>
    <s v="Senior Manager"/>
    <n v="2785000"/>
    <n v="2"/>
    <n v="37"/>
    <x v="0"/>
    <s v="M"/>
    <s v="45-54"/>
    <s v="Leadership"/>
    <s v="M|Category A"/>
    <x v="0"/>
    <x v="0"/>
  </r>
  <r>
    <s v="EMP081"/>
    <x v="0"/>
    <n v="27"/>
    <x v="0"/>
    <x v="6"/>
    <s v="Entry"/>
    <n v="450000"/>
    <n v="1"/>
    <n v="10"/>
    <x v="1"/>
    <s v="M"/>
    <s v="25-34"/>
    <s v="Entry"/>
    <s v="M|Category C"/>
    <x v="1"/>
    <x v="1"/>
  </r>
  <r>
    <s v="EMP082"/>
    <x v="3"/>
    <n v="37"/>
    <x v="2"/>
    <x v="5"/>
    <s v="Senior"/>
    <n v="1370000"/>
    <n v="3"/>
    <n v="39"/>
    <x v="1"/>
    <s v="Undisclosed"/>
    <s v="35-44"/>
    <s v="Senior"/>
    <s v="Undisclosed|Category B"/>
    <x v="0"/>
    <x v="0"/>
  </r>
  <r>
    <s v="EMP083"/>
    <x v="0"/>
    <n v="38"/>
    <x v="1"/>
    <x v="6"/>
    <s v="Mid-Level"/>
    <n v="650000"/>
    <n v="2"/>
    <n v="28"/>
    <x v="0"/>
    <s v="M"/>
    <s v="35-44"/>
    <s v="Mid"/>
    <s v="M|Category A"/>
    <x v="0"/>
    <x v="0"/>
  </r>
  <r>
    <s v="EMP084"/>
    <x v="0"/>
    <n v="21"/>
    <x v="1"/>
    <x v="4"/>
    <s v="Entry"/>
    <n v="340000"/>
    <n v="0"/>
    <n v="22"/>
    <x v="0"/>
    <s v="M"/>
    <s v="&lt;25"/>
    <s v="Entry"/>
    <s v="M|Category A"/>
    <x v="1"/>
    <x v="0"/>
  </r>
  <r>
    <s v="EMP085"/>
    <x v="1"/>
    <n v="42"/>
    <x v="0"/>
    <x v="6"/>
    <s v="Senior"/>
    <n v="1375000"/>
    <n v="0"/>
    <n v="34"/>
    <x v="1"/>
    <s v="F"/>
    <s v="35-44"/>
    <s v="Senior"/>
    <s v="F|Category C"/>
    <x v="0"/>
    <x v="0"/>
  </r>
  <r>
    <s v="EMP086"/>
    <x v="0"/>
    <n v="35"/>
    <x v="1"/>
    <x v="4"/>
    <s v="Mid-Level"/>
    <n v="720000"/>
    <n v="1"/>
    <n v="32"/>
    <x v="0"/>
    <s v="M"/>
    <s v="35-44"/>
    <s v="Mid"/>
    <s v="M|Category A"/>
    <x v="0"/>
    <x v="0"/>
  </r>
  <r>
    <s v="EMP087"/>
    <x v="1"/>
    <n v="36"/>
    <x v="3"/>
    <x v="7"/>
    <s v="Mid-Level"/>
    <n v="750000"/>
    <n v="0"/>
    <n v="44"/>
    <x v="0"/>
    <s v="F"/>
    <s v="35-44"/>
    <s v="Mid"/>
    <s v="F|Category D"/>
    <x v="0"/>
    <x v="0"/>
  </r>
  <r>
    <s v="EMP088"/>
    <x v="0"/>
    <n v="36"/>
    <x v="1"/>
    <x v="5"/>
    <s v="Mid-Level"/>
    <n v="620000"/>
    <n v="2"/>
    <n v="35"/>
    <x v="0"/>
    <s v="M"/>
    <s v="35-44"/>
    <s v="Mid"/>
    <s v="M|Category A"/>
    <x v="0"/>
    <x v="0"/>
  </r>
  <r>
    <s v="EMP089"/>
    <x v="1"/>
    <n v="48"/>
    <x v="2"/>
    <x v="4"/>
    <s v="Senior Manager"/>
    <n v="2405000"/>
    <n v="0"/>
    <n v="78"/>
    <x v="0"/>
    <s v="F"/>
    <s v="45-54"/>
    <s v="Leadership"/>
    <s v="F|Category B"/>
    <x v="0"/>
    <x v="0"/>
  </r>
  <r>
    <s v="EMP090"/>
    <x v="0"/>
    <n v="29"/>
    <x v="0"/>
    <x v="3"/>
    <s v="Junior"/>
    <n v="660000"/>
    <n v="1"/>
    <n v="25"/>
    <x v="0"/>
    <s v="M"/>
    <s v="25-34"/>
    <s v="Entry"/>
    <s v="M|Category C"/>
    <x v="1"/>
    <x v="0"/>
  </r>
  <r>
    <s v="EMP091"/>
    <x v="1"/>
    <n v="30"/>
    <x v="2"/>
    <x v="2"/>
    <s v="Junior"/>
    <n v="550000"/>
    <n v="0"/>
    <n v="22"/>
    <x v="0"/>
    <s v="F"/>
    <s v="25-34"/>
    <s v="Entry"/>
    <s v="F|Category B"/>
    <x v="1"/>
    <x v="0"/>
  </r>
  <r>
    <s v="EMP092"/>
    <x v="1"/>
    <n v="24"/>
    <x v="2"/>
    <x v="1"/>
    <s v="Junior"/>
    <n v="610000"/>
    <n v="1"/>
    <n v="36"/>
    <x v="1"/>
    <s v="F"/>
    <s v="&lt;25"/>
    <s v="Entry"/>
    <s v="F|Category B"/>
    <x v="1"/>
    <x v="0"/>
  </r>
  <r>
    <s v="EMP093"/>
    <x v="1"/>
    <n v="25"/>
    <x v="1"/>
    <x v="3"/>
    <s v="Entry"/>
    <n v="395000"/>
    <n v="0"/>
    <n v="23"/>
    <x v="0"/>
    <s v="F"/>
    <s v="25-34"/>
    <s v="Entry"/>
    <s v="F|Category A"/>
    <x v="1"/>
    <x v="0"/>
  </r>
  <r>
    <s v="EMP094"/>
    <x v="0"/>
    <n v="49"/>
    <x v="1"/>
    <x v="5"/>
    <s v="Manager"/>
    <n v="1810000"/>
    <n v="0"/>
    <n v="65"/>
    <x v="0"/>
    <s v="M"/>
    <s v="45-54"/>
    <s v="Leadership"/>
    <s v="M|Category A"/>
    <x v="0"/>
    <x v="0"/>
  </r>
  <r>
    <s v="EMP095"/>
    <x v="0"/>
    <n v="28"/>
    <x v="3"/>
    <x v="7"/>
    <s v="Mid-Level"/>
    <n v="720000"/>
    <n v="2"/>
    <n v="22"/>
    <x v="0"/>
    <s v="M"/>
    <s v="25-34"/>
    <s v="Mid"/>
    <s v="M|Category D"/>
    <x v="0"/>
    <x v="0"/>
  </r>
  <r>
    <s v="EMP096"/>
    <x v="3"/>
    <n v="44"/>
    <x v="1"/>
    <x v="3"/>
    <s v="Manager"/>
    <n v="1835000"/>
    <n v="2"/>
    <n v="51"/>
    <x v="0"/>
    <s v="Undisclosed"/>
    <s v="35-44"/>
    <s v="Leadership"/>
    <s v="Undisclosed|Category A"/>
    <x v="0"/>
    <x v="0"/>
  </r>
  <r>
    <s v="EMP097"/>
    <x v="1"/>
    <n v="31"/>
    <x v="2"/>
    <x v="4"/>
    <s v="Junior"/>
    <n v="470000"/>
    <n v="1"/>
    <n v="18"/>
    <x v="0"/>
    <s v="F"/>
    <s v="25-34"/>
    <s v="Entry"/>
    <s v="F|Category B"/>
    <x v="1"/>
    <x v="0"/>
  </r>
  <r>
    <s v="EMP098"/>
    <x v="1"/>
    <n v="35"/>
    <x v="1"/>
    <x v="7"/>
    <s v="Senior"/>
    <n v="1215000"/>
    <n v="2"/>
    <n v="57"/>
    <x v="1"/>
    <s v="F"/>
    <s v="35-44"/>
    <s v="Senior"/>
    <s v="F|Category A"/>
    <x v="0"/>
    <x v="0"/>
  </r>
  <r>
    <s v="EMP099"/>
    <x v="0"/>
    <n v="31"/>
    <x v="0"/>
    <x v="1"/>
    <s v="Junior"/>
    <n v="685000"/>
    <n v="0"/>
    <n v="39"/>
    <x v="0"/>
    <s v="M"/>
    <s v="25-34"/>
    <s v="Entry"/>
    <s v="M|Category C"/>
    <x v="1"/>
    <x v="0"/>
  </r>
  <r>
    <s v="EMP100"/>
    <x v="1"/>
    <n v="29"/>
    <x v="2"/>
    <x v="3"/>
    <s v="Junior"/>
    <n v="425000"/>
    <n v="0"/>
    <n v="25"/>
    <x v="0"/>
    <s v="F"/>
    <s v="25-34"/>
    <s v="Entry"/>
    <s v="F|Category B"/>
    <x v="1"/>
    <x v="0"/>
  </r>
  <r>
    <s v="EMP101"/>
    <x v="1"/>
    <n v="27"/>
    <x v="2"/>
    <x v="7"/>
    <s v="Mid-Level"/>
    <n v="665000"/>
    <n v="1"/>
    <n v="36"/>
    <x v="1"/>
    <s v="F"/>
    <s v="25-34"/>
    <s v="Mid"/>
    <s v="F|Category B"/>
    <x v="0"/>
    <x v="0"/>
  </r>
  <r>
    <s v="EMP102"/>
    <x v="1"/>
    <n v="22"/>
    <x v="1"/>
    <x v="1"/>
    <s v="Entry"/>
    <n v="405000"/>
    <n v="1"/>
    <n v="12"/>
    <x v="0"/>
    <s v="F"/>
    <s v="&lt;25"/>
    <s v="Entry"/>
    <s v="F|Category A"/>
    <x v="1"/>
    <x v="0"/>
  </r>
  <r>
    <s v="EMP103"/>
    <x v="1"/>
    <n v="32"/>
    <x v="3"/>
    <x v="7"/>
    <s v="Mid-Level"/>
    <n v="955000"/>
    <n v="2"/>
    <n v="39"/>
    <x v="1"/>
    <s v="F"/>
    <s v="25-34"/>
    <s v="Mid"/>
    <s v="F|Category D"/>
    <x v="0"/>
    <x v="0"/>
  </r>
  <r>
    <s v="EMP104"/>
    <x v="0"/>
    <n v="36"/>
    <x v="1"/>
    <x v="0"/>
    <s v="Manager"/>
    <n v="1945000"/>
    <n v="0"/>
    <n v="65"/>
    <x v="0"/>
    <s v="M"/>
    <s v="35-44"/>
    <s v="Leadership"/>
    <s v="M|Category A"/>
    <x v="0"/>
    <x v="0"/>
  </r>
  <r>
    <s v="EMP105"/>
    <x v="1"/>
    <n v="28"/>
    <x v="3"/>
    <x v="5"/>
    <s v="Mid-Level"/>
    <n v="1000000"/>
    <n v="1"/>
    <n v="21"/>
    <x v="0"/>
    <s v="F"/>
    <s v="25-34"/>
    <s v="Mid"/>
    <s v="F|Category D"/>
    <x v="0"/>
    <x v="0"/>
  </r>
  <r>
    <s v="EMP106"/>
    <x v="1"/>
    <n v="23"/>
    <x v="0"/>
    <x v="3"/>
    <s v="Junior"/>
    <n v="555000"/>
    <n v="0"/>
    <n v="23"/>
    <x v="0"/>
    <s v="F"/>
    <s v="&lt;25"/>
    <s v="Entry"/>
    <s v="F|Category C"/>
    <x v="1"/>
    <x v="0"/>
  </r>
  <r>
    <s v="EMP107"/>
    <x v="1"/>
    <n v="21"/>
    <x v="0"/>
    <x v="6"/>
    <s v="Entry"/>
    <n v="460000"/>
    <n v="1"/>
    <n v="27"/>
    <x v="0"/>
    <s v="F"/>
    <s v="&lt;25"/>
    <s v="Entry"/>
    <s v="F|Category C"/>
    <x v="1"/>
    <x v="0"/>
  </r>
  <r>
    <s v="EMP108"/>
    <x v="0"/>
    <n v="31"/>
    <x v="2"/>
    <x v="3"/>
    <s v="Mid-Level"/>
    <n v="840000"/>
    <n v="0"/>
    <n v="15"/>
    <x v="1"/>
    <s v="M"/>
    <s v="25-34"/>
    <s v="Mid"/>
    <s v="M|Category B"/>
    <x v="0"/>
    <x v="0"/>
  </r>
  <r>
    <s v="EMP109"/>
    <x v="0"/>
    <n v="23"/>
    <x v="2"/>
    <x v="1"/>
    <s v="Entry"/>
    <n v="455000"/>
    <n v="0"/>
    <n v="21"/>
    <x v="0"/>
    <s v="M"/>
    <s v="&lt;25"/>
    <s v="Entry"/>
    <s v="M|Category B"/>
    <x v="1"/>
    <x v="0"/>
  </r>
  <r>
    <s v="EMP110"/>
    <x v="3"/>
    <n v="38"/>
    <x v="2"/>
    <x v="1"/>
    <s v="Manager"/>
    <n v="1550000"/>
    <n v="0"/>
    <n v="47"/>
    <x v="0"/>
    <s v="Undisclosed"/>
    <s v="35-44"/>
    <s v="Leadership"/>
    <s v="Undisclosed|Category B"/>
    <x v="0"/>
    <x v="0"/>
  </r>
  <r>
    <s v="EMP111"/>
    <x v="1"/>
    <n v="23"/>
    <x v="0"/>
    <x v="2"/>
    <s v="Junior"/>
    <n v="660000"/>
    <n v="1"/>
    <n v="38"/>
    <x v="0"/>
    <s v="F"/>
    <s v="&lt;25"/>
    <s v="Entry"/>
    <s v="F|Category C"/>
    <x v="1"/>
    <x v="0"/>
  </r>
  <r>
    <s v="EMP112"/>
    <x v="1"/>
    <n v="26"/>
    <x v="1"/>
    <x v="0"/>
    <s v="Junior"/>
    <n v="530000"/>
    <n v="1"/>
    <n v="33"/>
    <x v="0"/>
    <s v="F"/>
    <s v="25-34"/>
    <s v="Entry"/>
    <s v="F|Category A"/>
    <x v="1"/>
    <x v="0"/>
  </r>
  <r>
    <s v="EMP113"/>
    <x v="1"/>
    <n v="36"/>
    <x v="1"/>
    <x v="4"/>
    <s v="Manager"/>
    <n v="1625000"/>
    <n v="2"/>
    <n v="27"/>
    <x v="0"/>
    <s v="F"/>
    <s v="35-44"/>
    <s v="Leadership"/>
    <s v="F|Category A"/>
    <x v="0"/>
    <x v="0"/>
  </r>
  <r>
    <s v="EMP114"/>
    <x v="3"/>
    <n v="29"/>
    <x v="2"/>
    <x v="4"/>
    <s v="Junior"/>
    <n v="490000"/>
    <n v="0"/>
    <n v="35"/>
    <x v="0"/>
    <s v="Undisclosed"/>
    <s v="25-34"/>
    <s v="Entry"/>
    <s v="Undisclosed|Category B"/>
    <x v="1"/>
    <x v="0"/>
  </r>
  <r>
    <s v="EMP115"/>
    <x v="0"/>
    <n v="35"/>
    <x v="1"/>
    <x v="0"/>
    <s v="Senior"/>
    <n v="1405000"/>
    <n v="3"/>
    <n v="38"/>
    <x v="0"/>
    <s v="M"/>
    <s v="35-44"/>
    <s v="Senior"/>
    <s v="M|Category A"/>
    <x v="0"/>
    <x v="0"/>
  </r>
  <r>
    <s v="EMP116"/>
    <x v="1"/>
    <n v="22"/>
    <x v="2"/>
    <x v="1"/>
    <s v="Entry"/>
    <n v="475000"/>
    <n v="1"/>
    <n v="20"/>
    <x v="1"/>
    <s v="F"/>
    <s v="&lt;25"/>
    <s v="Entry"/>
    <s v="F|Category B"/>
    <x v="1"/>
    <x v="0"/>
  </r>
  <r>
    <s v="EMP117"/>
    <x v="0"/>
    <n v="25"/>
    <x v="2"/>
    <x v="2"/>
    <s v="Entry"/>
    <n v="330000"/>
    <n v="0"/>
    <n v="29"/>
    <x v="0"/>
    <s v="M"/>
    <s v="25-34"/>
    <s v="Entry"/>
    <s v="M|Category B"/>
    <x v="1"/>
    <x v="0"/>
  </r>
  <r>
    <s v="EMP118"/>
    <x v="1"/>
    <n v="22"/>
    <x v="0"/>
    <x v="7"/>
    <s v="Entry"/>
    <n v="425000"/>
    <n v="0"/>
    <n v="25"/>
    <x v="0"/>
    <s v="F"/>
    <s v="&lt;25"/>
    <s v="Entry"/>
    <s v="F|Category C"/>
    <x v="1"/>
    <x v="0"/>
  </r>
  <r>
    <s v="EMP119"/>
    <x v="0"/>
    <n v="44"/>
    <x v="4"/>
    <x v="0"/>
    <s v="Manager"/>
    <n v="1980000"/>
    <n v="1"/>
    <n v="33"/>
    <x v="0"/>
    <s v="M"/>
    <s v="35-44"/>
    <s v="Leadership"/>
    <s v="M|Prefer Not to Say"/>
    <x v="0"/>
    <x v="0"/>
  </r>
  <r>
    <s v="EMP120"/>
    <x v="1"/>
    <n v="25"/>
    <x v="3"/>
    <x v="1"/>
    <s v="Entry"/>
    <n v="335000"/>
    <n v="0"/>
    <n v="19"/>
    <x v="0"/>
    <s v="F"/>
    <s v="25-34"/>
    <s v="Entry"/>
    <s v="F|Category D"/>
    <x v="1"/>
    <x v="0"/>
  </r>
  <r>
    <s v="EMP121"/>
    <x v="1"/>
    <n v="38"/>
    <x v="3"/>
    <x v="4"/>
    <s v="Mid-Level"/>
    <n v="680000"/>
    <n v="2"/>
    <n v="21"/>
    <x v="0"/>
    <s v="F"/>
    <s v="35-44"/>
    <s v="Mid"/>
    <s v="F|Category D"/>
    <x v="0"/>
    <x v="0"/>
  </r>
  <r>
    <s v="EMP122"/>
    <x v="0"/>
    <n v="23"/>
    <x v="0"/>
    <x v="2"/>
    <s v="Entry"/>
    <n v="355000"/>
    <n v="0"/>
    <n v="15"/>
    <x v="1"/>
    <s v="M"/>
    <s v="&lt;25"/>
    <s v="Entry"/>
    <s v="M|Category C"/>
    <x v="1"/>
    <x v="0"/>
  </r>
  <r>
    <s v="EMP123"/>
    <x v="0"/>
    <n v="23"/>
    <x v="0"/>
    <x v="5"/>
    <s v="Entry"/>
    <n v="350000"/>
    <n v="1"/>
    <n v="22"/>
    <x v="0"/>
    <s v="M"/>
    <s v="&lt;25"/>
    <s v="Entry"/>
    <s v="M|Category C"/>
    <x v="1"/>
    <x v="0"/>
  </r>
  <r>
    <s v="EMP124"/>
    <x v="1"/>
    <n v="23"/>
    <x v="0"/>
    <x v="6"/>
    <s v="Entry"/>
    <n v="365000"/>
    <n v="1"/>
    <n v="26"/>
    <x v="0"/>
    <s v="F"/>
    <s v="&lt;25"/>
    <s v="Entry"/>
    <s v="F|Category C"/>
    <x v="1"/>
    <x v="0"/>
  </r>
  <r>
    <s v="EMP125"/>
    <x v="1"/>
    <n v="34"/>
    <x v="1"/>
    <x v="3"/>
    <s v="Senior"/>
    <n v="1245000"/>
    <n v="2"/>
    <n v="58"/>
    <x v="0"/>
    <s v="F"/>
    <s v="25-34"/>
    <s v="Senior"/>
    <s v="F|Category A"/>
    <x v="0"/>
    <x v="0"/>
  </r>
  <r>
    <s v="EMP126"/>
    <x v="0"/>
    <n v="29"/>
    <x v="3"/>
    <x v="2"/>
    <s v="Mid-Level"/>
    <n v="660000"/>
    <n v="1"/>
    <n v="16"/>
    <x v="0"/>
    <s v="M"/>
    <s v="25-34"/>
    <s v="Mid"/>
    <s v="M|Category D"/>
    <x v="0"/>
    <x v="0"/>
  </r>
  <r>
    <s v="EMP127"/>
    <x v="1"/>
    <n v="23"/>
    <x v="2"/>
    <x v="2"/>
    <s v="Entry"/>
    <n v="315000"/>
    <n v="0"/>
    <n v="21"/>
    <x v="0"/>
    <s v="F"/>
    <s v="&lt;25"/>
    <s v="Entry"/>
    <s v="F|Category B"/>
    <x v="1"/>
    <x v="0"/>
  </r>
  <r>
    <s v="EMP128"/>
    <x v="1"/>
    <n v="28"/>
    <x v="0"/>
    <x v="4"/>
    <s v="Mid-Level"/>
    <n v="835000"/>
    <n v="1"/>
    <n v="17"/>
    <x v="0"/>
    <s v="F"/>
    <s v="25-34"/>
    <s v="Mid"/>
    <s v="F|Category C"/>
    <x v="0"/>
    <x v="0"/>
  </r>
  <r>
    <s v="EMP129"/>
    <x v="0"/>
    <n v="27"/>
    <x v="0"/>
    <x v="7"/>
    <s v="Mid-Level"/>
    <n v="630000"/>
    <n v="2"/>
    <n v="40"/>
    <x v="0"/>
    <s v="M"/>
    <s v="25-34"/>
    <s v="Mid"/>
    <s v="M|Category C"/>
    <x v="0"/>
    <x v="0"/>
  </r>
  <r>
    <s v="EMP130"/>
    <x v="1"/>
    <n v="21"/>
    <x v="0"/>
    <x v="2"/>
    <s v="Entry"/>
    <n v="385000"/>
    <n v="0"/>
    <n v="10"/>
    <x v="0"/>
    <s v="F"/>
    <s v="&lt;25"/>
    <s v="Entry"/>
    <s v="F|Category C"/>
    <x v="1"/>
    <x v="1"/>
  </r>
  <r>
    <s v="EMP131"/>
    <x v="1"/>
    <n v="31"/>
    <x v="1"/>
    <x v="6"/>
    <s v="Junior"/>
    <n v="555000"/>
    <n v="0"/>
    <n v="29"/>
    <x v="0"/>
    <s v="F"/>
    <s v="25-34"/>
    <s v="Entry"/>
    <s v="F|Category A"/>
    <x v="1"/>
    <x v="0"/>
  </r>
  <r>
    <s v="EMP132"/>
    <x v="1"/>
    <n v="30"/>
    <x v="2"/>
    <x v="2"/>
    <s v="Mid-Level"/>
    <n v="815000"/>
    <n v="0"/>
    <n v="44"/>
    <x v="0"/>
    <s v="F"/>
    <s v="25-34"/>
    <s v="Mid"/>
    <s v="F|Category B"/>
    <x v="0"/>
    <x v="0"/>
  </r>
  <r>
    <s v="EMP133"/>
    <x v="1"/>
    <n v="36"/>
    <x v="1"/>
    <x v="0"/>
    <s v="Senior"/>
    <n v="1060000"/>
    <n v="1"/>
    <n v="50"/>
    <x v="0"/>
    <s v="F"/>
    <s v="35-44"/>
    <s v="Senior"/>
    <s v="F|Category A"/>
    <x v="0"/>
    <x v="0"/>
  </r>
  <r>
    <s v="EMP134"/>
    <x v="1"/>
    <n v="36"/>
    <x v="0"/>
    <x v="1"/>
    <s v="Senior"/>
    <n v="1035000"/>
    <n v="1"/>
    <n v="57"/>
    <x v="1"/>
    <s v="F"/>
    <s v="35-44"/>
    <s v="Senior"/>
    <s v="F|Category C"/>
    <x v="0"/>
    <x v="0"/>
  </r>
  <r>
    <s v="EMP135"/>
    <x v="0"/>
    <n v="29"/>
    <x v="2"/>
    <x v="3"/>
    <s v="Junior"/>
    <n v="425000"/>
    <n v="1"/>
    <n v="29"/>
    <x v="0"/>
    <s v="M"/>
    <s v="25-34"/>
    <s v="Entry"/>
    <s v="M|Category B"/>
    <x v="1"/>
    <x v="0"/>
  </r>
  <r>
    <s v="EMP136"/>
    <x v="1"/>
    <n v="34"/>
    <x v="0"/>
    <x v="1"/>
    <s v="Senior"/>
    <n v="1015000"/>
    <n v="0"/>
    <n v="55"/>
    <x v="0"/>
    <s v="F"/>
    <s v="25-34"/>
    <s v="Senior"/>
    <s v="F|Category C"/>
    <x v="0"/>
    <x v="0"/>
  </r>
  <r>
    <s v="EMP137"/>
    <x v="0"/>
    <n v="43"/>
    <x v="0"/>
    <x v="2"/>
    <s v="Senior"/>
    <n v="1485000"/>
    <n v="0"/>
    <n v="37"/>
    <x v="0"/>
    <s v="M"/>
    <s v="35-44"/>
    <s v="Senior"/>
    <s v="M|Category C"/>
    <x v="0"/>
    <x v="0"/>
  </r>
  <r>
    <s v="EMP138"/>
    <x v="1"/>
    <n v="25"/>
    <x v="4"/>
    <x v="0"/>
    <s v="Junior"/>
    <n v="475000"/>
    <n v="0"/>
    <n v="22"/>
    <x v="0"/>
    <s v="F"/>
    <s v="25-34"/>
    <s v="Entry"/>
    <s v="F|Prefer Not to Say"/>
    <x v="1"/>
    <x v="0"/>
  </r>
  <r>
    <s v="EMP139"/>
    <x v="0"/>
    <n v="34"/>
    <x v="2"/>
    <x v="0"/>
    <s v="Senior"/>
    <n v="1295000"/>
    <n v="1"/>
    <n v="41"/>
    <x v="0"/>
    <s v="M"/>
    <s v="25-34"/>
    <s v="Senior"/>
    <s v="M|Category B"/>
    <x v="0"/>
    <x v="0"/>
  </r>
  <r>
    <s v="EMP140"/>
    <x v="0"/>
    <n v="39"/>
    <x v="0"/>
    <x v="7"/>
    <s v="Manager"/>
    <n v="1465000"/>
    <n v="2"/>
    <n v="28"/>
    <x v="0"/>
    <s v="M"/>
    <s v="35-44"/>
    <s v="Leadership"/>
    <s v="M|Category C"/>
    <x v="0"/>
    <x v="0"/>
  </r>
  <r>
    <s v="EMP141"/>
    <x v="0"/>
    <n v="33"/>
    <x v="2"/>
    <x v="7"/>
    <s v="Mid-Level"/>
    <n v="745000"/>
    <n v="0"/>
    <n v="47"/>
    <x v="0"/>
    <s v="M"/>
    <s v="25-34"/>
    <s v="Mid"/>
    <s v="M|Category B"/>
    <x v="0"/>
    <x v="0"/>
  </r>
  <r>
    <s v="EMP142"/>
    <x v="0"/>
    <n v="31"/>
    <x v="1"/>
    <x v="3"/>
    <s v="Mid-Level"/>
    <n v="625000"/>
    <n v="0"/>
    <n v="18"/>
    <x v="0"/>
    <s v="M"/>
    <s v="25-34"/>
    <s v="Mid"/>
    <s v="M|Category A"/>
    <x v="0"/>
    <x v="0"/>
  </r>
  <r>
    <s v="EMP143"/>
    <x v="0"/>
    <n v="35"/>
    <x v="2"/>
    <x v="6"/>
    <s v="Senior"/>
    <n v="1245000"/>
    <n v="0"/>
    <n v="51"/>
    <x v="0"/>
    <s v="M"/>
    <s v="35-44"/>
    <s v="Senior"/>
    <s v="M|Category B"/>
    <x v="0"/>
    <x v="0"/>
  </r>
  <r>
    <s v="EMP144"/>
    <x v="0"/>
    <n v="37"/>
    <x v="1"/>
    <x v="2"/>
    <s v="Mid-Level"/>
    <n v="785000"/>
    <n v="0"/>
    <n v="17"/>
    <x v="0"/>
    <s v="M"/>
    <s v="35-44"/>
    <s v="Mid"/>
    <s v="M|Category A"/>
    <x v="0"/>
    <x v="0"/>
  </r>
  <r>
    <s v="EMP145"/>
    <x v="0"/>
    <n v="36"/>
    <x v="3"/>
    <x v="3"/>
    <s v="Mid-Level"/>
    <n v="810000"/>
    <n v="1"/>
    <n v="41"/>
    <x v="0"/>
    <s v="M"/>
    <s v="35-44"/>
    <s v="Mid"/>
    <s v="M|Category D"/>
    <x v="0"/>
    <x v="0"/>
  </r>
  <r>
    <s v="EMP146"/>
    <x v="1"/>
    <n v="40"/>
    <x v="1"/>
    <x v="1"/>
    <s v="Senior"/>
    <n v="1380000"/>
    <n v="2"/>
    <n v="43"/>
    <x v="0"/>
    <s v="F"/>
    <s v="35-44"/>
    <s v="Senior"/>
    <s v="F|Category A"/>
    <x v="0"/>
    <x v="0"/>
  </r>
  <r>
    <s v="EMP147"/>
    <x v="0"/>
    <n v="33"/>
    <x v="2"/>
    <x v="0"/>
    <s v="Mid-Level"/>
    <n v="765000"/>
    <n v="1"/>
    <n v="29"/>
    <x v="0"/>
    <s v="M"/>
    <s v="25-34"/>
    <s v="Mid"/>
    <s v="M|Category B"/>
    <x v="0"/>
    <x v="0"/>
  </r>
  <r>
    <s v="EMP148"/>
    <x v="0"/>
    <n v="30"/>
    <x v="1"/>
    <x v="3"/>
    <s v="Mid-Level"/>
    <n v="785000"/>
    <n v="0"/>
    <n v="24"/>
    <x v="0"/>
    <s v="M"/>
    <s v="25-34"/>
    <s v="Mid"/>
    <s v="M|Category A"/>
    <x v="0"/>
    <x v="0"/>
  </r>
  <r>
    <s v="EMP149"/>
    <x v="1"/>
    <n v="41"/>
    <x v="0"/>
    <x v="7"/>
    <s v="Senior"/>
    <n v="980000"/>
    <n v="0"/>
    <n v="60"/>
    <x v="0"/>
    <s v="F"/>
    <s v="35-44"/>
    <s v="Senior"/>
    <s v="F|Category C"/>
    <x v="0"/>
    <x v="0"/>
  </r>
  <r>
    <s v="EMP150"/>
    <x v="3"/>
    <n v="45"/>
    <x v="2"/>
    <x v="7"/>
    <s v="Senior"/>
    <n v="1490000"/>
    <n v="1"/>
    <n v="59"/>
    <x v="0"/>
    <s v="Undisclosed"/>
    <s v="45-54"/>
    <s v="Senior"/>
    <s v="Undisclosed|Category B"/>
    <x v="0"/>
    <x v="0"/>
  </r>
  <r>
    <s v="EMP151"/>
    <x v="0"/>
    <n v="24"/>
    <x v="1"/>
    <x v="7"/>
    <s v="Entry"/>
    <n v="465000"/>
    <n v="0"/>
    <n v="16"/>
    <x v="0"/>
    <s v="M"/>
    <s v="&lt;25"/>
    <s v="Entry"/>
    <s v="M|Category A"/>
    <x v="1"/>
    <x v="0"/>
  </r>
  <r>
    <s v="EMP152"/>
    <x v="3"/>
    <n v="27"/>
    <x v="1"/>
    <x v="1"/>
    <s v="Mid-Level"/>
    <n v="795000"/>
    <n v="1"/>
    <n v="19"/>
    <x v="0"/>
    <s v="Undisclosed"/>
    <s v="25-34"/>
    <s v="Mid"/>
    <s v="Undisclosed|Category A"/>
    <x v="0"/>
    <x v="0"/>
  </r>
  <r>
    <s v="EMP153"/>
    <x v="1"/>
    <n v="35"/>
    <x v="1"/>
    <x v="7"/>
    <s v="Mid-Level"/>
    <n v="985000"/>
    <n v="2"/>
    <n v="43"/>
    <x v="1"/>
    <s v="F"/>
    <s v="35-44"/>
    <s v="Mid"/>
    <s v="F|Category A"/>
    <x v="0"/>
    <x v="0"/>
  </r>
  <r>
    <s v="EMP154"/>
    <x v="0"/>
    <n v="27"/>
    <x v="0"/>
    <x v="5"/>
    <s v="Mid-Level"/>
    <n v="835000"/>
    <n v="0"/>
    <n v="36"/>
    <x v="1"/>
    <s v="M"/>
    <s v="25-34"/>
    <s v="Mid"/>
    <s v="M|Category C"/>
    <x v="0"/>
    <x v="0"/>
  </r>
  <r>
    <s v="EMP155"/>
    <x v="0"/>
    <n v="30"/>
    <x v="2"/>
    <x v="1"/>
    <s v="Junior"/>
    <n v="630000"/>
    <n v="0"/>
    <n v="29"/>
    <x v="0"/>
    <s v="M"/>
    <s v="25-34"/>
    <s v="Entry"/>
    <s v="M|Category B"/>
    <x v="1"/>
    <x v="0"/>
  </r>
  <r>
    <s v="EMP156"/>
    <x v="0"/>
    <n v="41"/>
    <x v="0"/>
    <x v="4"/>
    <s v="Senior"/>
    <n v="955000"/>
    <n v="2"/>
    <n v="41"/>
    <x v="0"/>
    <s v="M"/>
    <s v="35-44"/>
    <s v="Senior"/>
    <s v="M|Category C"/>
    <x v="0"/>
    <x v="0"/>
  </r>
  <r>
    <s v="EMP157"/>
    <x v="0"/>
    <n v="25"/>
    <x v="3"/>
    <x v="1"/>
    <s v="Junior"/>
    <n v="575000"/>
    <n v="0"/>
    <n v="31"/>
    <x v="0"/>
    <s v="M"/>
    <s v="25-34"/>
    <s v="Entry"/>
    <s v="M|Category D"/>
    <x v="1"/>
    <x v="0"/>
  </r>
  <r>
    <s v="EMP158"/>
    <x v="0"/>
    <n v="26"/>
    <x v="1"/>
    <x v="0"/>
    <s v="Entry"/>
    <n v="320000"/>
    <n v="0"/>
    <n v="20"/>
    <x v="0"/>
    <s v="M"/>
    <s v="25-34"/>
    <s v="Entry"/>
    <s v="M|Category A"/>
    <x v="1"/>
    <x v="0"/>
  </r>
  <r>
    <s v="EMP159"/>
    <x v="2"/>
    <n v="33"/>
    <x v="2"/>
    <x v="7"/>
    <s v="Mid-Level"/>
    <n v="865000"/>
    <n v="0"/>
    <n v="38"/>
    <x v="0"/>
    <s v="Other"/>
    <s v="25-34"/>
    <s v="Mid"/>
    <s v="Other|Category B"/>
    <x v="0"/>
    <x v="0"/>
  </r>
  <r>
    <s v="EMP160"/>
    <x v="1"/>
    <n v="25"/>
    <x v="2"/>
    <x v="5"/>
    <s v="Junior"/>
    <n v="480000"/>
    <n v="0"/>
    <n v="37"/>
    <x v="0"/>
    <s v="F"/>
    <s v="25-34"/>
    <s v="Entry"/>
    <s v="F|Category B"/>
    <x v="1"/>
    <x v="0"/>
  </r>
  <r>
    <s v="EMP161"/>
    <x v="1"/>
    <n v="45"/>
    <x v="0"/>
    <x v="3"/>
    <s v="Senior"/>
    <n v="1035000"/>
    <n v="1"/>
    <n v="29"/>
    <x v="0"/>
    <s v="F"/>
    <s v="45-54"/>
    <s v="Senior"/>
    <s v="F|Category C"/>
    <x v="0"/>
    <x v="0"/>
  </r>
  <r>
    <s v="EMP162"/>
    <x v="1"/>
    <n v="31"/>
    <x v="0"/>
    <x v="7"/>
    <s v="Senior"/>
    <n v="1330000"/>
    <n v="0"/>
    <n v="35"/>
    <x v="1"/>
    <s v="F"/>
    <s v="25-34"/>
    <s v="Senior"/>
    <s v="F|Category C"/>
    <x v="0"/>
    <x v="0"/>
  </r>
  <r>
    <s v="EMP163"/>
    <x v="1"/>
    <n v="26"/>
    <x v="2"/>
    <x v="7"/>
    <s v="Junior"/>
    <n v="560000"/>
    <n v="1"/>
    <n v="35"/>
    <x v="0"/>
    <s v="F"/>
    <s v="25-34"/>
    <s v="Entry"/>
    <s v="F|Category B"/>
    <x v="1"/>
    <x v="0"/>
  </r>
  <r>
    <s v="EMP164"/>
    <x v="1"/>
    <n v="31"/>
    <x v="3"/>
    <x v="3"/>
    <s v="Mid-Level"/>
    <n v="800000"/>
    <n v="1"/>
    <n v="41"/>
    <x v="1"/>
    <s v="F"/>
    <s v="25-34"/>
    <s v="Mid"/>
    <s v="F|Category D"/>
    <x v="0"/>
    <x v="0"/>
  </r>
  <r>
    <s v="EMP165"/>
    <x v="0"/>
    <n v="36"/>
    <x v="3"/>
    <x v="0"/>
    <s v="Manager"/>
    <n v="1970000"/>
    <n v="1"/>
    <n v="48"/>
    <x v="0"/>
    <s v="M"/>
    <s v="35-44"/>
    <s v="Leadership"/>
    <s v="M|Category D"/>
    <x v="0"/>
    <x v="0"/>
  </r>
  <r>
    <s v="EMP166"/>
    <x v="0"/>
    <n v="25"/>
    <x v="3"/>
    <x v="6"/>
    <s v="Junior"/>
    <n v="545000"/>
    <n v="0"/>
    <n v="26"/>
    <x v="0"/>
    <s v="M"/>
    <s v="25-34"/>
    <s v="Entry"/>
    <s v="M|Category D"/>
    <x v="1"/>
    <x v="0"/>
  </r>
  <r>
    <s v="EMP167"/>
    <x v="1"/>
    <n v="45"/>
    <x v="1"/>
    <x v="0"/>
    <s v="Senior"/>
    <n v="1265000"/>
    <n v="3"/>
    <n v="46"/>
    <x v="0"/>
    <s v="F"/>
    <s v="45-54"/>
    <s v="Senior"/>
    <s v="F|Category A"/>
    <x v="0"/>
    <x v="0"/>
  </r>
  <r>
    <s v="EMP168"/>
    <x v="0"/>
    <n v="23"/>
    <x v="1"/>
    <x v="5"/>
    <s v="Junior"/>
    <n v="565000"/>
    <n v="1"/>
    <n v="36"/>
    <x v="0"/>
    <s v="M"/>
    <s v="&lt;25"/>
    <s v="Entry"/>
    <s v="M|Category A"/>
    <x v="1"/>
    <x v="0"/>
  </r>
  <r>
    <s v="EMP169"/>
    <x v="0"/>
    <n v="30"/>
    <x v="1"/>
    <x v="4"/>
    <s v="Junior"/>
    <n v="475000"/>
    <n v="1"/>
    <n v="25"/>
    <x v="0"/>
    <s v="M"/>
    <s v="25-34"/>
    <s v="Entry"/>
    <s v="M|Category A"/>
    <x v="1"/>
    <x v="0"/>
  </r>
  <r>
    <s v="EMP170"/>
    <x v="0"/>
    <n v="25"/>
    <x v="2"/>
    <x v="4"/>
    <s v="Junior"/>
    <n v="690000"/>
    <n v="1"/>
    <n v="29"/>
    <x v="0"/>
    <s v="M"/>
    <s v="25-34"/>
    <s v="Entry"/>
    <s v="M|Category B"/>
    <x v="1"/>
    <x v="0"/>
  </r>
  <r>
    <s v="EMP171"/>
    <x v="0"/>
    <n v="22"/>
    <x v="3"/>
    <x v="5"/>
    <s v="Entry"/>
    <n v="410000"/>
    <n v="0"/>
    <n v="27"/>
    <x v="0"/>
    <s v="M"/>
    <s v="&lt;25"/>
    <s v="Entry"/>
    <s v="M|Category D"/>
    <x v="1"/>
    <x v="0"/>
  </r>
  <r>
    <s v="EMP172"/>
    <x v="1"/>
    <n v="36"/>
    <x v="1"/>
    <x v="1"/>
    <s v="Mid-Level"/>
    <n v="725000"/>
    <n v="1"/>
    <n v="33"/>
    <x v="0"/>
    <s v="F"/>
    <s v="35-44"/>
    <s v="Mid"/>
    <s v="F|Category A"/>
    <x v="0"/>
    <x v="0"/>
  </r>
  <r>
    <s v="EMP173"/>
    <x v="1"/>
    <n v="24"/>
    <x v="3"/>
    <x v="5"/>
    <s v="Junior"/>
    <n v="675000"/>
    <n v="1"/>
    <n v="12"/>
    <x v="1"/>
    <s v="F"/>
    <s v="&lt;25"/>
    <s v="Entry"/>
    <s v="F|Category D"/>
    <x v="1"/>
    <x v="0"/>
  </r>
  <r>
    <s v="EMP174"/>
    <x v="0"/>
    <n v="30"/>
    <x v="3"/>
    <x v="2"/>
    <s v="Junior"/>
    <n v="425000"/>
    <n v="0"/>
    <n v="21"/>
    <x v="0"/>
    <s v="M"/>
    <s v="25-34"/>
    <s v="Entry"/>
    <s v="M|Category D"/>
    <x v="1"/>
    <x v="0"/>
  </r>
  <r>
    <s v="EMP175"/>
    <x v="1"/>
    <n v="24"/>
    <x v="1"/>
    <x v="7"/>
    <s v="Junior"/>
    <n v="575000"/>
    <n v="0"/>
    <n v="21"/>
    <x v="0"/>
    <s v="F"/>
    <s v="&lt;25"/>
    <s v="Entry"/>
    <s v="F|Category A"/>
    <x v="1"/>
    <x v="0"/>
  </r>
  <r>
    <s v="EMP176"/>
    <x v="1"/>
    <n v="55"/>
    <x v="2"/>
    <x v="4"/>
    <s v="Senior Manager"/>
    <n v="2460000"/>
    <n v="0"/>
    <n v="38"/>
    <x v="0"/>
    <s v="F"/>
    <s v="55+"/>
    <s v="Leadership"/>
    <s v="F|Category B"/>
    <x v="0"/>
    <x v="0"/>
  </r>
  <r>
    <s v="EMP177"/>
    <x v="3"/>
    <n v="26"/>
    <x v="2"/>
    <x v="4"/>
    <s v="Junior"/>
    <n v="420000"/>
    <n v="0"/>
    <n v="19"/>
    <x v="0"/>
    <s v="Undisclosed"/>
    <s v="25-34"/>
    <s v="Entry"/>
    <s v="Undisclosed|Category B"/>
    <x v="1"/>
    <x v="0"/>
  </r>
  <r>
    <s v="EMP178"/>
    <x v="0"/>
    <n v="26"/>
    <x v="1"/>
    <x v="2"/>
    <s v="Entry"/>
    <n v="350000"/>
    <n v="0"/>
    <n v="9"/>
    <x v="1"/>
    <s v="M"/>
    <s v="25-34"/>
    <s v="Entry"/>
    <s v="M|Category A"/>
    <x v="1"/>
    <x v="1"/>
  </r>
  <r>
    <s v="EMP179"/>
    <x v="0"/>
    <n v="33"/>
    <x v="0"/>
    <x v="2"/>
    <s v="Mid-Level"/>
    <n v="990000"/>
    <n v="0"/>
    <n v="39"/>
    <x v="0"/>
    <s v="M"/>
    <s v="25-34"/>
    <s v="Mid"/>
    <s v="M|Category C"/>
    <x v="0"/>
    <x v="0"/>
  </r>
  <r>
    <s v="EMP180"/>
    <x v="1"/>
    <n v="51"/>
    <x v="3"/>
    <x v="4"/>
    <s v="Manager"/>
    <n v="1580000"/>
    <n v="2"/>
    <n v="52"/>
    <x v="0"/>
    <s v="F"/>
    <s v="45-54"/>
    <s v="Leadership"/>
    <s v="F|Category D"/>
    <x v="0"/>
    <x v="0"/>
  </r>
  <r>
    <s v="EMP181"/>
    <x v="1"/>
    <n v="24"/>
    <x v="1"/>
    <x v="7"/>
    <s v="Junior"/>
    <n v="570000"/>
    <n v="0"/>
    <n v="19"/>
    <x v="0"/>
    <s v="F"/>
    <s v="&lt;25"/>
    <s v="Entry"/>
    <s v="F|Category A"/>
    <x v="1"/>
    <x v="0"/>
  </r>
  <r>
    <s v="EMP182"/>
    <x v="3"/>
    <n v="23"/>
    <x v="3"/>
    <x v="0"/>
    <s v="Junior"/>
    <n v="585000"/>
    <n v="0"/>
    <n v="23"/>
    <x v="0"/>
    <s v="Undisclosed"/>
    <s v="&lt;25"/>
    <s v="Entry"/>
    <s v="Undisclosed|Category D"/>
    <x v="1"/>
    <x v="0"/>
  </r>
  <r>
    <s v="EMP183"/>
    <x v="0"/>
    <n v="37"/>
    <x v="0"/>
    <x v="7"/>
    <s v="Senior"/>
    <n v="1280000"/>
    <n v="1"/>
    <n v="30"/>
    <x v="1"/>
    <s v="M"/>
    <s v="35-44"/>
    <s v="Senior"/>
    <s v="M|Category C"/>
    <x v="0"/>
    <x v="0"/>
  </r>
  <r>
    <s v="EMP184"/>
    <x v="2"/>
    <n v="21"/>
    <x v="1"/>
    <x v="3"/>
    <s v="Entry"/>
    <n v="360000"/>
    <n v="1"/>
    <n v="19"/>
    <x v="0"/>
    <s v="Other"/>
    <s v="&lt;25"/>
    <s v="Entry"/>
    <s v="Other|Category A"/>
    <x v="1"/>
    <x v="0"/>
  </r>
  <r>
    <s v="EMP185"/>
    <x v="1"/>
    <n v="36"/>
    <x v="2"/>
    <x v="4"/>
    <s v="Senior"/>
    <n v="1290000"/>
    <n v="1"/>
    <n v="24"/>
    <x v="0"/>
    <s v="F"/>
    <s v="35-44"/>
    <s v="Senior"/>
    <s v="F|Category B"/>
    <x v="0"/>
    <x v="0"/>
  </r>
  <r>
    <s v="EMP186"/>
    <x v="1"/>
    <n v="24"/>
    <x v="1"/>
    <x v="4"/>
    <s v="Junior"/>
    <n v="415000"/>
    <n v="1"/>
    <n v="25"/>
    <x v="0"/>
    <s v="F"/>
    <s v="&lt;25"/>
    <s v="Entry"/>
    <s v="F|Category A"/>
    <x v="1"/>
    <x v="0"/>
  </r>
  <r>
    <s v="EMP187"/>
    <x v="0"/>
    <n v="34"/>
    <x v="1"/>
    <x v="3"/>
    <s v="Senior"/>
    <n v="1200000"/>
    <n v="1"/>
    <n v="51"/>
    <x v="0"/>
    <s v="M"/>
    <s v="25-34"/>
    <s v="Senior"/>
    <s v="M|Category A"/>
    <x v="0"/>
    <x v="0"/>
  </r>
  <r>
    <s v="EMP188"/>
    <x v="1"/>
    <n v="49"/>
    <x v="2"/>
    <x v="4"/>
    <s v="Manager"/>
    <n v="1390000"/>
    <n v="2"/>
    <n v="45"/>
    <x v="0"/>
    <s v="F"/>
    <s v="45-54"/>
    <s v="Leadership"/>
    <s v="F|Category B"/>
    <x v="0"/>
    <x v="0"/>
  </r>
  <r>
    <s v="EMP189"/>
    <x v="0"/>
    <n v="40"/>
    <x v="1"/>
    <x v="3"/>
    <s v="Manager"/>
    <n v="1970000"/>
    <n v="0"/>
    <n v="48"/>
    <x v="0"/>
    <s v="M"/>
    <s v="35-44"/>
    <s v="Leadership"/>
    <s v="M|Category A"/>
    <x v="0"/>
    <x v="0"/>
  </r>
  <r>
    <s v="EMP190"/>
    <x v="1"/>
    <n v="30"/>
    <x v="0"/>
    <x v="0"/>
    <s v="Junior"/>
    <n v="415000"/>
    <n v="0"/>
    <n v="28"/>
    <x v="0"/>
    <s v="F"/>
    <s v="25-34"/>
    <s v="Entry"/>
    <s v="F|Category C"/>
    <x v="1"/>
    <x v="0"/>
  </r>
  <r>
    <s v="EMP191"/>
    <x v="0"/>
    <n v="24"/>
    <x v="0"/>
    <x v="3"/>
    <s v="Entry"/>
    <n v="490000"/>
    <n v="1"/>
    <n v="24"/>
    <x v="0"/>
    <s v="M"/>
    <s v="&lt;25"/>
    <s v="Entry"/>
    <s v="M|Category C"/>
    <x v="1"/>
    <x v="0"/>
  </r>
  <r>
    <s v="EMP192"/>
    <x v="0"/>
    <n v="60"/>
    <x v="3"/>
    <x v="3"/>
    <s v="Senior Manager"/>
    <n v="1880000"/>
    <n v="1"/>
    <n v="73"/>
    <x v="0"/>
    <s v="M"/>
    <s v="55+"/>
    <s v="Leadership"/>
    <s v="M|Category D"/>
    <x v="0"/>
    <x v="0"/>
  </r>
  <r>
    <s v="EMP193"/>
    <x v="1"/>
    <n v="33"/>
    <x v="2"/>
    <x v="3"/>
    <s v="Senior"/>
    <n v="1355000"/>
    <n v="1"/>
    <n v="23"/>
    <x v="0"/>
    <s v="F"/>
    <s v="25-34"/>
    <s v="Senior"/>
    <s v="F|Category B"/>
    <x v="0"/>
    <x v="0"/>
  </r>
  <r>
    <s v="EMP194"/>
    <x v="1"/>
    <n v="26"/>
    <x v="1"/>
    <x v="4"/>
    <s v="Junior"/>
    <n v="580000"/>
    <n v="1"/>
    <n v="26"/>
    <x v="1"/>
    <s v="F"/>
    <s v="25-34"/>
    <s v="Entry"/>
    <s v="F|Category A"/>
    <x v="1"/>
    <x v="0"/>
  </r>
  <r>
    <s v="EMP195"/>
    <x v="1"/>
    <n v="23"/>
    <x v="0"/>
    <x v="3"/>
    <s v="Entry"/>
    <n v="460000"/>
    <n v="0"/>
    <n v="24"/>
    <x v="0"/>
    <s v="F"/>
    <s v="&lt;25"/>
    <s v="Entry"/>
    <s v="F|Category C"/>
    <x v="1"/>
    <x v="0"/>
  </r>
  <r>
    <s v="EMP196"/>
    <x v="1"/>
    <n v="42"/>
    <x v="1"/>
    <x v="4"/>
    <s v="Senior"/>
    <n v="1255000"/>
    <n v="2"/>
    <n v="56"/>
    <x v="0"/>
    <s v="F"/>
    <s v="35-44"/>
    <s v="Senior"/>
    <s v="F|Category A"/>
    <x v="0"/>
    <x v="0"/>
  </r>
  <r>
    <s v="EMP197"/>
    <x v="1"/>
    <n v="43"/>
    <x v="2"/>
    <x v="4"/>
    <s v="Senior"/>
    <n v="1500000"/>
    <n v="1"/>
    <n v="60"/>
    <x v="0"/>
    <s v="F"/>
    <s v="35-44"/>
    <s v="Senior"/>
    <s v="F|Category B"/>
    <x v="0"/>
    <x v="0"/>
  </r>
  <r>
    <s v="EMP198"/>
    <x v="0"/>
    <n v="37"/>
    <x v="2"/>
    <x v="7"/>
    <s v="Mid-Level"/>
    <n v="815000"/>
    <n v="0"/>
    <n v="19"/>
    <x v="0"/>
    <s v="M"/>
    <s v="35-44"/>
    <s v="Mid"/>
    <s v="M|Category B"/>
    <x v="0"/>
    <x v="0"/>
  </r>
  <r>
    <s v="EMP199"/>
    <x v="1"/>
    <n v="25"/>
    <x v="4"/>
    <x v="3"/>
    <s v="Junior"/>
    <n v="565000"/>
    <n v="1"/>
    <n v="20"/>
    <x v="0"/>
    <s v="F"/>
    <s v="25-34"/>
    <s v="Entry"/>
    <s v="F|Prefer Not to Say"/>
    <x v="1"/>
    <x v="0"/>
  </r>
  <r>
    <s v="EMP200"/>
    <x v="0"/>
    <n v="39"/>
    <x v="1"/>
    <x v="0"/>
    <s v="Senior"/>
    <n v="1490000"/>
    <n v="0"/>
    <n v="35"/>
    <x v="0"/>
    <s v="M"/>
    <s v="35-44"/>
    <s v="Senior"/>
    <s v="M|Category A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13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37" firstHeaderRow="1" firstDataRow="1" firstDataCol="1"/>
  <pivotFields count="13">
    <pivotField dataField="1" showAll="0"/>
    <pivotField showAll="0"/>
    <pivotField axis="axisRow" showAll="0">
      <items count="34">
        <item x="28"/>
        <item x="3"/>
        <item x="4"/>
        <item x="1"/>
        <item x="29"/>
        <item x="26"/>
        <item x="0"/>
        <item x="22"/>
        <item x="16"/>
        <item x="5"/>
        <item x="14"/>
        <item x="19"/>
        <item x="15"/>
        <item x="10"/>
        <item x="21"/>
        <item x="17"/>
        <item x="7"/>
        <item x="20"/>
        <item x="11"/>
        <item x="8"/>
        <item x="12"/>
        <item x="13"/>
        <item x="6"/>
        <item x="9"/>
        <item x="24"/>
        <item x="18"/>
        <item x="27"/>
        <item x="30"/>
        <item x="23"/>
        <item x="25"/>
        <item x="2"/>
        <item x="31"/>
        <item x="32"/>
        <item t="default"/>
      </items>
    </pivotField>
    <pivotField showAll="0"/>
    <pivotField showAll="0"/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</pivotFields>
  <rowFields count="1">
    <field x="2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13">
    <pivotField dataField="1"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2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9">
        <item x="1"/>
        <item x="0"/>
        <item x="5"/>
        <item x="4"/>
        <item x="3"/>
        <item x="2"/>
        <item x="7"/>
        <item x="6"/>
        <item t="default"/>
      </items>
    </pivotField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86" firstHeaderRow="1" firstDataRow="1" firstDataCol="1"/>
  <pivotFields count="14">
    <pivotField showAll="0"/>
    <pivotField showAll="0"/>
    <pivotField showAll="0"/>
    <pivotField showAll="0"/>
    <pivotField axis="axisRow" showAll="0">
      <items count="9">
        <item x="1"/>
        <item x="0"/>
        <item x="5"/>
        <item x="4"/>
        <item x="3"/>
        <item x="2"/>
        <item x="7"/>
        <item x="6"/>
        <item t="default"/>
      </items>
    </pivotField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17">
        <item x="5"/>
        <item x="4"/>
        <item x="2"/>
        <item x="8"/>
        <item x="9"/>
        <item x="1"/>
        <item x="3"/>
        <item x="0"/>
        <item x="6"/>
        <item x="10"/>
        <item x="15"/>
        <item x="13"/>
        <item x="7"/>
        <item x="12"/>
        <item x="11"/>
        <item x="14"/>
        <item t="default"/>
      </items>
    </pivotField>
  </pivotFields>
  <rowFields count="2">
    <field x="4"/>
    <field x="13"/>
  </rowFields>
  <rowItems count="83">
    <i>
      <x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3"/>
    </i>
    <i r="1">
      <x v="14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5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4"/>
    </i>
    <i>
      <x v="3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3"/>
    </i>
    <i>
      <x v="5"/>
    </i>
    <i r="1">
      <x v="1"/>
    </i>
    <i r="1">
      <x v="2"/>
    </i>
    <i r="1">
      <x v="5"/>
    </i>
    <i r="1">
      <x v="6"/>
    </i>
    <i r="1">
      <x v="7"/>
    </i>
    <i r="1">
      <x v="8"/>
    </i>
    <i>
      <x v="6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1"/>
    </i>
    <i r="1">
      <x v="14"/>
    </i>
    <i>
      <x v="7"/>
    </i>
    <i r="1">
      <x/>
    </i>
    <i r="1">
      <x v="2"/>
    </i>
    <i r="1">
      <x v="3"/>
    </i>
    <i r="1">
      <x v="5"/>
    </i>
    <i r="1">
      <x v="6"/>
    </i>
    <i r="1">
      <x v="7"/>
    </i>
    <i r="1">
      <x v="8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 rowPageCount="1" colPageCount="1"/>
  <pivotFields count="15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4" item="1" hier="-1"/>
  </pageField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8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 rowPageCount="1" colPageCount="1"/>
  <pivotFields count="15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4" item="1" hier="-1"/>
  </pageFields>
  <dataFields count="1">
    <dataField name="Sum of Promotions_Last3Years" fld="7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9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15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6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0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9" firstHeaderRow="1" firstDataRow="2" firstDataCol="1"/>
  <pivotFields count="16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numFmtId="1"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12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G9" firstHeaderRow="1" firstDataRow="2" firstDataCol="1" rowPageCount="1" colPageCount="1"/>
  <pivotFields count="16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Col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numFmtId="164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4" item="1" hier="-1"/>
  </pageFields>
  <dataFields count="1">
    <dataField name="Sum of Promotions_Last3Years" fld="7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13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2" firstHeaderRow="1" firstDataRow="1" firstDataCol="1"/>
  <pivotFields count="16">
    <pivotField showAll="0"/>
    <pivotField showAll="0"/>
    <pivotField showAll="0"/>
    <pivotField showAll="0"/>
    <pivotField axis="axisRow" showAll="0">
      <items count="9">
        <item x="1"/>
        <item x="0"/>
        <item x="5"/>
        <item x="4"/>
        <item x="3"/>
        <item x="2"/>
        <item x="7"/>
        <item x="6"/>
        <item t="default"/>
      </items>
    </pivotField>
    <pivotField showAll="0"/>
    <pivotField dataField="1" numFmtId="16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" fld="6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F19" sqref="F19"/>
    </sheetView>
  </sheetViews>
  <sheetFormatPr defaultRowHeight="14.4"/>
  <cols>
    <col min="1" max="1" width="15.109375" bestFit="1" customWidth="1"/>
    <col min="2" max="2" width="20.109375" bestFit="1" customWidth="1"/>
  </cols>
  <sheetData>
    <row r="3" spans="1:2">
      <c r="A3" s="13" t="s">
        <v>257</v>
      </c>
      <c r="B3" t="s">
        <v>259</v>
      </c>
    </row>
    <row r="4" spans="1:2">
      <c r="A4" s="14" t="s">
        <v>23</v>
      </c>
      <c r="B4" s="15">
        <v>94</v>
      </c>
    </row>
    <row r="5" spans="1:2">
      <c r="A5" s="14" t="s">
        <v>11</v>
      </c>
      <c r="B5" s="15">
        <v>94</v>
      </c>
    </row>
    <row r="6" spans="1:2">
      <c r="A6" s="14" t="s">
        <v>61</v>
      </c>
      <c r="B6" s="15">
        <v>4</v>
      </c>
    </row>
    <row r="7" spans="1:2">
      <c r="A7" s="14" t="s">
        <v>66</v>
      </c>
      <c r="B7" s="15">
        <v>8</v>
      </c>
    </row>
    <row r="8" spans="1:2">
      <c r="A8" s="14" t="s">
        <v>258</v>
      </c>
      <c r="B8" s="1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37"/>
  <sheetViews>
    <sheetView zoomScale="80" zoomScaleNormal="80" workbookViewId="0">
      <selection activeCell="D28" sqref="D28"/>
    </sheetView>
  </sheetViews>
  <sheetFormatPr defaultRowHeight="14.4"/>
  <cols>
    <col min="1" max="1" width="12.5546875" bestFit="1" customWidth="1"/>
    <col min="2" max="2" width="20.109375" bestFit="1" customWidth="1"/>
  </cols>
  <sheetData>
    <row r="3" spans="1:2">
      <c r="A3" s="13" t="s">
        <v>257</v>
      </c>
      <c r="B3" t="s">
        <v>259</v>
      </c>
    </row>
    <row r="4" spans="1:2">
      <c r="A4" s="14">
        <v>21</v>
      </c>
      <c r="B4" s="15">
        <v>4</v>
      </c>
    </row>
    <row r="5" spans="1:2">
      <c r="A5" s="14">
        <v>22</v>
      </c>
      <c r="B5" s="15">
        <v>9</v>
      </c>
    </row>
    <row r="6" spans="1:2">
      <c r="A6" s="14">
        <v>23</v>
      </c>
      <c r="B6" s="15">
        <v>13</v>
      </c>
    </row>
    <row r="7" spans="1:2">
      <c r="A7" s="14">
        <v>24</v>
      </c>
      <c r="B7" s="15">
        <v>12</v>
      </c>
    </row>
    <row r="8" spans="1:2">
      <c r="A8" s="14">
        <v>25</v>
      </c>
      <c r="B8" s="15">
        <v>9</v>
      </c>
    </row>
    <row r="9" spans="1:2">
      <c r="A9" s="14">
        <v>26</v>
      </c>
      <c r="B9" s="15">
        <v>7</v>
      </c>
    </row>
    <row r="10" spans="1:2">
      <c r="A10" s="14">
        <v>27</v>
      </c>
      <c r="B10" s="15">
        <v>10</v>
      </c>
    </row>
    <row r="11" spans="1:2">
      <c r="A11" s="14">
        <v>28</v>
      </c>
      <c r="B11" s="15">
        <v>5</v>
      </c>
    </row>
    <row r="12" spans="1:2">
      <c r="A12" s="14">
        <v>29</v>
      </c>
      <c r="B12" s="15">
        <v>7</v>
      </c>
    </row>
    <row r="13" spans="1:2">
      <c r="A13" s="14">
        <v>30</v>
      </c>
      <c r="B13" s="15">
        <v>14</v>
      </c>
    </row>
    <row r="14" spans="1:2">
      <c r="A14" s="14">
        <v>31</v>
      </c>
      <c r="B14" s="15">
        <v>14</v>
      </c>
    </row>
    <row r="15" spans="1:2">
      <c r="A15" s="14">
        <v>32</v>
      </c>
      <c r="B15" s="15">
        <v>2</v>
      </c>
    </row>
    <row r="16" spans="1:2">
      <c r="A16" s="14">
        <v>33</v>
      </c>
      <c r="B16" s="15">
        <v>10</v>
      </c>
    </row>
    <row r="17" spans="1:2">
      <c r="A17" s="14">
        <v>34</v>
      </c>
      <c r="B17" s="15">
        <v>6</v>
      </c>
    </row>
    <row r="18" spans="1:2">
      <c r="A18" s="14">
        <v>35</v>
      </c>
      <c r="B18" s="15">
        <v>7</v>
      </c>
    </row>
    <row r="19" spans="1:2">
      <c r="A19" s="14">
        <v>36</v>
      </c>
      <c r="B19" s="15">
        <v>13</v>
      </c>
    </row>
    <row r="20" spans="1:2">
      <c r="A20" s="14">
        <v>37</v>
      </c>
      <c r="B20" s="15">
        <v>10</v>
      </c>
    </row>
    <row r="21" spans="1:2">
      <c r="A21" s="14">
        <v>38</v>
      </c>
      <c r="B21" s="15">
        <v>5</v>
      </c>
    </row>
    <row r="22" spans="1:2">
      <c r="A22" s="14">
        <v>39</v>
      </c>
      <c r="B22" s="15">
        <v>6</v>
      </c>
    </row>
    <row r="23" spans="1:2">
      <c r="A23" s="14">
        <v>40</v>
      </c>
      <c r="B23" s="15">
        <v>5</v>
      </c>
    </row>
    <row r="24" spans="1:2">
      <c r="A24" s="14">
        <v>41</v>
      </c>
      <c r="B24" s="15">
        <v>5</v>
      </c>
    </row>
    <row r="25" spans="1:2">
      <c r="A25" s="14">
        <v>42</v>
      </c>
      <c r="B25" s="15">
        <v>4</v>
      </c>
    </row>
    <row r="26" spans="1:2">
      <c r="A26" s="14">
        <v>43</v>
      </c>
      <c r="B26" s="15">
        <v>4</v>
      </c>
    </row>
    <row r="27" spans="1:2">
      <c r="A27" s="14">
        <v>44</v>
      </c>
      <c r="B27" s="15">
        <v>4</v>
      </c>
    </row>
    <row r="28" spans="1:2">
      <c r="A28" s="14">
        <v>45</v>
      </c>
      <c r="B28" s="15">
        <v>4</v>
      </c>
    </row>
    <row r="29" spans="1:2">
      <c r="A29" s="14">
        <v>46</v>
      </c>
      <c r="B29" s="15">
        <v>1</v>
      </c>
    </row>
    <row r="30" spans="1:2">
      <c r="A30" s="14">
        <v>48</v>
      </c>
      <c r="B30" s="15">
        <v>2</v>
      </c>
    </row>
    <row r="31" spans="1:2">
      <c r="A31" s="14">
        <v>49</v>
      </c>
      <c r="B31" s="15">
        <v>2</v>
      </c>
    </row>
    <row r="32" spans="1:2">
      <c r="A32" s="14">
        <v>50</v>
      </c>
      <c r="B32" s="15">
        <v>1</v>
      </c>
    </row>
    <row r="33" spans="1:2">
      <c r="A33" s="14">
        <v>51</v>
      </c>
      <c r="B33" s="15">
        <v>2</v>
      </c>
    </row>
    <row r="34" spans="1:2">
      <c r="A34" s="14">
        <v>52</v>
      </c>
      <c r="B34" s="15">
        <v>1</v>
      </c>
    </row>
    <row r="35" spans="1:2">
      <c r="A35" s="14">
        <v>55</v>
      </c>
      <c r="B35" s="15">
        <v>1</v>
      </c>
    </row>
    <row r="36" spans="1:2">
      <c r="A36" s="14">
        <v>60</v>
      </c>
      <c r="B36" s="15">
        <v>1</v>
      </c>
    </row>
    <row r="37" spans="1:2">
      <c r="A37" s="14" t="s">
        <v>258</v>
      </c>
      <c r="B37" s="15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E30" sqref="E30"/>
    </sheetView>
  </sheetViews>
  <sheetFormatPr defaultRowHeight="14.4"/>
  <cols>
    <col min="1" max="1" width="15.109375" bestFit="1" customWidth="1"/>
    <col min="2" max="2" width="20.109375" bestFit="1" customWidth="1"/>
  </cols>
  <sheetData>
    <row r="3" spans="1:2">
      <c r="A3" s="13" t="s">
        <v>257</v>
      </c>
      <c r="B3" t="s">
        <v>259</v>
      </c>
    </row>
    <row r="4" spans="1:2">
      <c r="A4" s="14" t="s">
        <v>17</v>
      </c>
      <c r="B4" s="15">
        <v>59</v>
      </c>
    </row>
    <row r="5" spans="1:2">
      <c r="A5" s="14" t="s">
        <v>28</v>
      </c>
      <c r="B5" s="15">
        <v>58</v>
      </c>
    </row>
    <row r="6" spans="1:2">
      <c r="A6" s="14" t="s">
        <v>12</v>
      </c>
      <c r="B6" s="15">
        <v>48</v>
      </c>
    </row>
    <row r="7" spans="1:2">
      <c r="A7" s="14" t="s">
        <v>58</v>
      </c>
      <c r="B7" s="15">
        <v>30</v>
      </c>
    </row>
    <row r="8" spans="1:2">
      <c r="A8" s="14" t="s">
        <v>66</v>
      </c>
      <c r="B8" s="15">
        <v>5</v>
      </c>
    </row>
    <row r="9" spans="1:2">
      <c r="A9" s="14" t="s">
        <v>258</v>
      </c>
      <c r="B9" s="1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2"/>
  <sheetViews>
    <sheetView workbookViewId="0">
      <selection activeCell="B6" sqref="B6"/>
    </sheetView>
  </sheetViews>
  <sheetFormatPr defaultRowHeight="14.4"/>
  <cols>
    <col min="1" max="1" width="15.21875" bestFit="1" customWidth="1"/>
    <col min="2" max="2" width="20.109375" bestFit="1" customWidth="1"/>
  </cols>
  <sheetData>
    <row r="3" spans="1:2">
      <c r="A3" s="13" t="s">
        <v>257</v>
      </c>
      <c r="B3" t="s">
        <v>259</v>
      </c>
    </row>
    <row r="4" spans="1:2">
      <c r="A4" s="14" t="s">
        <v>18</v>
      </c>
      <c r="B4" s="15">
        <v>19</v>
      </c>
    </row>
    <row r="5" spans="1:2">
      <c r="A5" s="14" t="s">
        <v>13</v>
      </c>
      <c r="B5" s="15">
        <v>25</v>
      </c>
    </row>
    <row r="6" spans="1:2">
      <c r="A6" s="14" t="s">
        <v>42</v>
      </c>
      <c r="B6" s="15">
        <v>26</v>
      </c>
    </row>
    <row r="7" spans="1:2">
      <c r="A7" s="14" t="s">
        <v>36</v>
      </c>
      <c r="B7" s="15">
        <v>30</v>
      </c>
    </row>
    <row r="8" spans="1:2">
      <c r="A8" s="14" t="s">
        <v>31</v>
      </c>
      <c r="B8" s="15">
        <v>31</v>
      </c>
    </row>
    <row r="9" spans="1:2">
      <c r="A9" s="14" t="s">
        <v>20</v>
      </c>
      <c r="B9" s="15">
        <v>24</v>
      </c>
    </row>
    <row r="10" spans="1:2">
      <c r="A10" s="14" t="s">
        <v>51</v>
      </c>
      <c r="B10" s="15">
        <v>29</v>
      </c>
    </row>
    <row r="11" spans="1:2">
      <c r="A11" s="14" t="s">
        <v>47</v>
      </c>
      <c r="B11" s="15">
        <v>16</v>
      </c>
    </row>
    <row r="12" spans="1:2">
      <c r="A12" s="14" t="s">
        <v>258</v>
      </c>
      <c r="B12" s="15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A86"/>
  <sheetViews>
    <sheetView workbookViewId="0">
      <selection activeCell="A3" sqref="A3"/>
    </sheetView>
  </sheetViews>
  <sheetFormatPr defaultRowHeight="14.4"/>
  <cols>
    <col min="1" max="1" width="25" bestFit="1" customWidth="1"/>
    <col min="2" max="2" width="23.5546875" bestFit="1" customWidth="1"/>
  </cols>
  <sheetData>
    <row r="3" spans="1:1">
      <c r="A3" s="13" t="s">
        <v>257</v>
      </c>
    </row>
    <row r="4" spans="1:1">
      <c r="A4" s="14" t="s">
        <v>18</v>
      </c>
    </row>
    <row r="5" spans="1:1">
      <c r="A5" s="20" t="s">
        <v>274</v>
      </c>
    </row>
    <row r="6" spans="1:1">
      <c r="A6" s="20" t="s">
        <v>275</v>
      </c>
    </row>
    <row r="7" spans="1:1">
      <c r="A7" s="20" t="s">
        <v>276</v>
      </c>
    </row>
    <row r="8" spans="1:1">
      <c r="A8" s="20" t="s">
        <v>277</v>
      </c>
    </row>
    <row r="9" spans="1:1">
      <c r="A9" s="20" t="s">
        <v>278</v>
      </c>
    </row>
    <row r="10" spans="1:1">
      <c r="A10" s="20" t="s">
        <v>279</v>
      </c>
    </row>
    <row r="11" spans="1:1">
      <c r="A11" s="20" t="s">
        <v>280</v>
      </c>
    </row>
    <row r="12" spans="1:1">
      <c r="A12" s="20" t="s">
        <v>281</v>
      </c>
    </row>
    <row r="13" spans="1:1">
      <c r="A13" s="20" t="s">
        <v>282</v>
      </c>
    </row>
    <row r="14" spans="1:1">
      <c r="A14" s="20" t="s">
        <v>283</v>
      </c>
    </row>
    <row r="15" spans="1:1">
      <c r="A15" s="14" t="s">
        <v>13</v>
      </c>
    </row>
    <row r="16" spans="1:1">
      <c r="A16" s="20" t="s">
        <v>274</v>
      </c>
    </row>
    <row r="17" spans="1:1">
      <c r="A17" s="20" t="s">
        <v>275</v>
      </c>
    </row>
    <row r="18" spans="1:1">
      <c r="A18" s="20" t="s">
        <v>276</v>
      </c>
    </row>
    <row r="19" spans="1:1">
      <c r="A19" s="20" t="s">
        <v>284</v>
      </c>
    </row>
    <row r="20" spans="1:1">
      <c r="A20" s="20" t="s">
        <v>278</v>
      </c>
    </row>
    <row r="21" spans="1:1">
      <c r="A21" s="20" t="s">
        <v>279</v>
      </c>
    </row>
    <row r="22" spans="1:1">
      <c r="A22" s="20" t="s">
        <v>280</v>
      </c>
    </row>
    <row r="23" spans="1:1">
      <c r="A23" s="20" t="s">
        <v>281</v>
      </c>
    </row>
    <row r="24" spans="1:1">
      <c r="A24" s="20" t="s">
        <v>285</v>
      </c>
    </row>
    <row r="25" spans="1:1">
      <c r="A25" s="20" t="s">
        <v>286</v>
      </c>
    </row>
    <row r="26" spans="1:1">
      <c r="A26" s="20" t="s">
        <v>287</v>
      </c>
    </row>
    <row r="27" spans="1:1">
      <c r="A27" s="14" t="s">
        <v>42</v>
      </c>
    </row>
    <row r="28" spans="1:1">
      <c r="A28" s="20" t="s">
        <v>275</v>
      </c>
    </row>
    <row r="29" spans="1:1">
      <c r="A29" s="20" t="s">
        <v>276</v>
      </c>
    </row>
    <row r="30" spans="1:1">
      <c r="A30" s="20" t="s">
        <v>277</v>
      </c>
    </row>
    <row r="31" spans="1:1">
      <c r="A31" s="20" t="s">
        <v>284</v>
      </c>
    </row>
    <row r="32" spans="1:1">
      <c r="A32" s="20" t="s">
        <v>278</v>
      </c>
    </row>
    <row r="33" spans="1:1">
      <c r="A33" s="20" t="s">
        <v>279</v>
      </c>
    </row>
    <row r="34" spans="1:1">
      <c r="A34" s="20" t="s">
        <v>280</v>
      </c>
    </row>
    <row r="35" spans="1:1">
      <c r="A35" s="20" t="s">
        <v>281</v>
      </c>
    </row>
    <row r="36" spans="1:1">
      <c r="A36" s="20" t="s">
        <v>286</v>
      </c>
    </row>
    <row r="37" spans="1:1">
      <c r="A37" s="20" t="s">
        <v>283</v>
      </c>
    </row>
    <row r="38" spans="1:1">
      <c r="A38" s="14" t="s">
        <v>36</v>
      </c>
    </row>
    <row r="39" spans="1:1">
      <c r="A39" s="20" t="s">
        <v>274</v>
      </c>
    </row>
    <row r="40" spans="1:1">
      <c r="A40" s="20" t="s">
        <v>275</v>
      </c>
    </row>
    <row r="41" spans="1:1">
      <c r="A41" s="20" t="s">
        <v>276</v>
      </c>
    </row>
    <row r="42" spans="1:1">
      <c r="A42" s="20" t="s">
        <v>277</v>
      </c>
    </row>
    <row r="43" spans="1:1">
      <c r="A43" s="20" t="s">
        <v>278</v>
      </c>
    </row>
    <row r="44" spans="1:1">
      <c r="A44" s="20" t="s">
        <v>279</v>
      </c>
    </row>
    <row r="45" spans="1:1">
      <c r="A45" s="20" t="s">
        <v>280</v>
      </c>
    </row>
    <row r="46" spans="1:1">
      <c r="A46" s="20" t="s">
        <v>285</v>
      </c>
    </row>
    <row r="47" spans="1:1">
      <c r="A47" s="20" t="s">
        <v>283</v>
      </c>
    </row>
    <row r="48" spans="1:1">
      <c r="A48" s="14" t="s">
        <v>31</v>
      </c>
    </row>
    <row r="49" spans="1:1">
      <c r="A49" s="20" t="s">
        <v>274</v>
      </c>
    </row>
    <row r="50" spans="1:1">
      <c r="A50" s="20" t="s">
        <v>275</v>
      </c>
    </row>
    <row r="51" spans="1:1">
      <c r="A51" s="20" t="s">
        <v>276</v>
      </c>
    </row>
    <row r="52" spans="1:1">
      <c r="A52" s="20" t="s">
        <v>277</v>
      </c>
    </row>
    <row r="53" spans="1:1">
      <c r="A53" s="20" t="s">
        <v>284</v>
      </c>
    </row>
    <row r="54" spans="1:1">
      <c r="A54" s="20" t="s">
        <v>278</v>
      </c>
    </row>
    <row r="55" spans="1:1">
      <c r="A55" s="20" t="s">
        <v>279</v>
      </c>
    </row>
    <row r="56" spans="1:1">
      <c r="A56" s="20" t="s">
        <v>280</v>
      </c>
    </row>
    <row r="57" spans="1:1">
      <c r="A57" s="20" t="s">
        <v>281</v>
      </c>
    </row>
    <row r="58" spans="1:1">
      <c r="A58" s="20" t="s">
        <v>288</v>
      </c>
    </row>
    <row r="59" spans="1:1">
      <c r="A59" s="20" t="s">
        <v>282</v>
      </c>
    </row>
    <row r="60" spans="1:1">
      <c r="A60" s="14" t="s">
        <v>20</v>
      </c>
    </row>
    <row r="61" spans="1:1">
      <c r="A61" s="20" t="s">
        <v>275</v>
      </c>
    </row>
    <row r="62" spans="1:1">
      <c r="A62" s="20" t="s">
        <v>276</v>
      </c>
    </row>
    <row r="63" spans="1:1">
      <c r="A63" s="20" t="s">
        <v>278</v>
      </c>
    </row>
    <row r="64" spans="1:1">
      <c r="A64" s="20" t="s">
        <v>279</v>
      </c>
    </row>
    <row r="65" spans="1:1">
      <c r="A65" s="20" t="s">
        <v>280</v>
      </c>
    </row>
    <row r="66" spans="1:1">
      <c r="A66" s="20" t="s">
        <v>281</v>
      </c>
    </row>
    <row r="67" spans="1:1">
      <c r="A67" s="14" t="s">
        <v>51</v>
      </c>
    </row>
    <row r="68" spans="1:1">
      <c r="A68" s="20" t="s">
        <v>274</v>
      </c>
    </row>
    <row r="69" spans="1:1">
      <c r="A69" s="20" t="s">
        <v>275</v>
      </c>
    </row>
    <row r="70" spans="1:1">
      <c r="A70" s="20" t="s">
        <v>276</v>
      </c>
    </row>
    <row r="71" spans="1:1">
      <c r="A71" s="20" t="s">
        <v>277</v>
      </c>
    </row>
    <row r="72" spans="1:1">
      <c r="A72" s="20" t="s">
        <v>278</v>
      </c>
    </row>
    <row r="73" spans="1:1">
      <c r="A73" s="20" t="s">
        <v>279</v>
      </c>
    </row>
    <row r="74" spans="1:1">
      <c r="A74" s="20" t="s">
        <v>280</v>
      </c>
    </row>
    <row r="75" spans="1:1">
      <c r="A75" s="20" t="s">
        <v>281</v>
      </c>
    </row>
    <row r="76" spans="1:1">
      <c r="A76" s="20" t="s">
        <v>289</v>
      </c>
    </row>
    <row r="77" spans="1:1">
      <c r="A77" s="20" t="s">
        <v>283</v>
      </c>
    </row>
    <row r="78" spans="1:1">
      <c r="A78" s="14" t="s">
        <v>47</v>
      </c>
    </row>
    <row r="79" spans="1:1">
      <c r="A79" s="20" t="s">
        <v>274</v>
      </c>
    </row>
    <row r="80" spans="1:1">
      <c r="A80" s="20" t="s">
        <v>276</v>
      </c>
    </row>
    <row r="81" spans="1:1">
      <c r="A81" s="20" t="s">
        <v>277</v>
      </c>
    </row>
    <row r="82" spans="1:1">
      <c r="A82" s="20" t="s">
        <v>278</v>
      </c>
    </row>
    <row r="83" spans="1:1">
      <c r="A83" s="20" t="s">
        <v>279</v>
      </c>
    </row>
    <row r="84" spans="1:1">
      <c r="A84" s="20" t="s">
        <v>280</v>
      </c>
    </row>
    <row r="85" spans="1:1">
      <c r="A85" s="20" t="s">
        <v>281</v>
      </c>
    </row>
    <row r="86" spans="1:1">
      <c r="A86" s="14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6" sqref="B6"/>
    </sheetView>
  </sheetViews>
  <sheetFormatPr defaultRowHeight="14.4"/>
  <cols>
    <col min="1" max="1" width="16.44140625" bestFit="1" customWidth="1"/>
    <col min="2" max="2" width="20.109375" bestFit="1" customWidth="1"/>
  </cols>
  <sheetData>
    <row r="1" spans="1:2">
      <c r="A1" s="13" t="s">
        <v>290</v>
      </c>
      <c r="B1" t="s">
        <v>293</v>
      </c>
    </row>
    <row r="3" spans="1:2">
      <c r="A3" s="13" t="s">
        <v>257</v>
      </c>
      <c r="B3" t="s">
        <v>259</v>
      </c>
    </row>
    <row r="4" spans="1:2">
      <c r="A4" s="14" t="s">
        <v>23</v>
      </c>
      <c r="B4" s="15">
        <v>53</v>
      </c>
    </row>
    <row r="5" spans="1:2">
      <c r="A5" s="14" t="s">
        <v>11</v>
      </c>
      <c r="B5" s="15">
        <v>61</v>
      </c>
    </row>
    <row r="6" spans="1:2">
      <c r="A6" s="14" t="s">
        <v>61</v>
      </c>
      <c r="B6" s="15">
        <v>3</v>
      </c>
    </row>
    <row r="7" spans="1:2">
      <c r="A7" s="14" t="s">
        <v>66</v>
      </c>
      <c r="B7" s="15">
        <v>5</v>
      </c>
    </row>
    <row r="8" spans="1:2">
      <c r="A8" s="14" t="s">
        <v>258</v>
      </c>
      <c r="B8" s="15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3" sqref="A3"/>
    </sheetView>
  </sheetViews>
  <sheetFormatPr defaultRowHeight="14.4"/>
  <cols>
    <col min="1" max="1" width="16.44140625" customWidth="1"/>
    <col min="2" max="2" width="27.44140625" customWidth="1"/>
  </cols>
  <sheetData>
    <row r="1" spans="1:2">
      <c r="A1" s="13" t="s">
        <v>290</v>
      </c>
      <c r="B1" t="s">
        <v>293</v>
      </c>
    </row>
    <row r="3" spans="1:2">
      <c r="A3" s="13" t="s">
        <v>257</v>
      </c>
      <c r="B3" t="s">
        <v>295</v>
      </c>
    </row>
    <row r="4" spans="1:2">
      <c r="A4" s="14" t="s">
        <v>23</v>
      </c>
      <c r="B4" s="15">
        <v>56</v>
      </c>
    </row>
    <row r="5" spans="1:2">
      <c r="A5" s="14" t="s">
        <v>11</v>
      </c>
      <c r="B5" s="15">
        <v>48</v>
      </c>
    </row>
    <row r="6" spans="1:2">
      <c r="A6" s="14" t="s">
        <v>61</v>
      </c>
      <c r="B6" s="15">
        <v>0</v>
      </c>
    </row>
    <row r="7" spans="1:2">
      <c r="A7" s="14" t="s">
        <v>66</v>
      </c>
      <c r="B7" s="15">
        <v>7</v>
      </c>
    </row>
    <row r="8" spans="1:2">
      <c r="A8" s="14" t="s">
        <v>258</v>
      </c>
      <c r="B8" s="15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A3" sqref="A3"/>
    </sheetView>
  </sheetViews>
  <sheetFormatPr defaultRowHeight="14.4"/>
  <cols>
    <col min="1" max="1" width="15.109375" bestFit="1" customWidth="1"/>
    <col min="2" max="2" width="15.77734375" bestFit="1" customWidth="1"/>
  </cols>
  <sheetData>
    <row r="3" spans="1:2">
      <c r="A3" s="13" t="s">
        <v>257</v>
      </c>
      <c r="B3" t="s">
        <v>296</v>
      </c>
    </row>
    <row r="4" spans="1:2">
      <c r="A4" s="14" t="s">
        <v>23</v>
      </c>
      <c r="B4" s="15">
        <v>898297.8723404255</v>
      </c>
    </row>
    <row r="5" spans="1:2">
      <c r="A5" s="14" t="s">
        <v>11</v>
      </c>
      <c r="B5" s="15">
        <v>923244.68085106381</v>
      </c>
    </row>
    <row r="6" spans="1:2">
      <c r="A6" s="14" t="s">
        <v>61</v>
      </c>
      <c r="B6" s="15">
        <v>1026250</v>
      </c>
    </row>
    <row r="7" spans="1:2">
      <c r="A7" s="14" t="s">
        <v>66</v>
      </c>
      <c r="B7" s="15">
        <v>1066875</v>
      </c>
    </row>
    <row r="8" spans="1:2">
      <c r="A8" s="14" t="s">
        <v>294</v>
      </c>
      <c r="B8" s="15"/>
    </row>
    <row r="9" spans="1:2">
      <c r="A9" s="14" t="s">
        <v>258</v>
      </c>
      <c r="B9" s="15">
        <v>919325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11"/>
  <sheetViews>
    <sheetView workbookViewId="0">
      <selection activeCell="J10" sqref="J10"/>
    </sheetView>
  </sheetViews>
  <sheetFormatPr defaultRowHeight="14.4"/>
  <cols>
    <col min="1" max="1" width="12.5546875" bestFit="1" customWidth="1"/>
    <col min="2" max="2" width="20.109375" bestFit="1" customWidth="1"/>
  </cols>
  <sheetData>
    <row r="3" spans="1:6">
      <c r="A3" s="13" t="s">
        <v>257</v>
      </c>
      <c r="B3" t="s">
        <v>259</v>
      </c>
    </row>
    <row r="4" spans="1:6">
      <c r="A4" s="14" t="s">
        <v>300</v>
      </c>
      <c r="B4" s="15">
        <v>6</v>
      </c>
    </row>
    <row r="5" spans="1:6">
      <c r="A5" s="14" t="s">
        <v>293</v>
      </c>
      <c r="B5" s="15">
        <v>194</v>
      </c>
    </row>
    <row r="6" spans="1:6">
      <c r="A6" s="14" t="s">
        <v>258</v>
      </c>
      <c r="B6" s="15">
        <v>200</v>
      </c>
    </row>
    <row r="8" spans="1:6" ht="28.8">
      <c r="E8" s="27" t="s">
        <v>301</v>
      </c>
      <c r="F8" s="27" t="s">
        <v>302</v>
      </c>
    </row>
    <row r="9" spans="1:6" ht="57.6">
      <c r="E9" s="12" t="s">
        <v>303</v>
      </c>
      <c r="F9" s="27">
        <v>194</v>
      </c>
    </row>
    <row r="10" spans="1:6" ht="43.2">
      <c r="E10" s="12" t="s">
        <v>251</v>
      </c>
      <c r="F10" s="27">
        <v>200</v>
      </c>
    </row>
    <row r="11" spans="1:6" ht="43.2">
      <c r="E11" s="12" t="s">
        <v>304</v>
      </c>
      <c r="F11" s="28">
        <v>0.97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D9"/>
  <sheetViews>
    <sheetView workbookViewId="0">
      <selection activeCell="A3" sqref="A3"/>
    </sheetView>
  </sheetViews>
  <sheetFormatPr defaultRowHeight="14.4"/>
  <cols>
    <col min="1" max="1" width="20.109375" bestFit="1" customWidth="1"/>
    <col min="2" max="2" width="15.5546875" bestFit="1" customWidth="1"/>
    <col min="3" max="3" width="6.109375" customWidth="1"/>
    <col min="4" max="4" width="10.77734375" bestFit="1" customWidth="1"/>
  </cols>
  <sheetData>
    <row r="3" spans="1:4">
      <c r="A3" s="13" t="s">
        <v>259</v>
      </c>
      <c r="B3" s="13" t="s">
        <v>305</v>
      </c>
    </row>
    <row r="4" spans="1:4">
      <c r="A4" s="13" t="s">
        <v>257</v>
      </c>
      <c r="B4" t="s">
        <v>15</v>
      </c>
      <c r="C4" t="s">
        <v>29</v>
      </c>
      <c r="D4" t="s">
        <v>258</v>
      </c>
    </row>
    <row r="5" spans="1:4">
      <c r="A5" s="14" t="s">
        <v>23</v>
      </c>
      <c r="B5" s="15">
        <v>74</v>
      </c>
      <c r="C5" s="15">
        <v>20</v>
      </c>
      <c r="D5" s="15">
        <v>94</v>
      </c>
    </row>
    <row r="6" spans="1:4">
      <c r="A6" s="14" t="s">
        <v>11</v>
      </c>
      <c r="B6" s="15">
        <v>81</v>
      </c>
      <c r="C6" s="15">
        <v>13</v>
      </c>
      <c r="D6" s="15">
        <v>94</v>
      </c>
    </row>
    <row r="7" spans="1:4">
      <c r="A7" s="14" t="s">
        <v>61</v>
      </c>
      <c r="B7" s="15">
        <v>4</v>
      </c>
      <c r="C7" s="15"/>
      <c r="D7" s="15">
        <v>4</v>
      </c>
    </row>
    <row r="8" spans="1:4">
      <c r="A8" s="14" t="s">
        <v>66</v>
      </c>
      <c r="B8" s="15">
        <v>7</v>
      </c>
      <c r="C8" s="15">
        <v>1</v>
      </c>
      <c r="D8" s="15">
        <v>8</v>
      </c>
    </row>
    <row r="9" spans="1:4">
      <c r="A9" s="14" t="s">
        <v>258</v>
      </c>
      <c r="B9" s="15">
        <v>166</v>
      </c>
      <c r="C9" s="15">
        <v>34</v>
      </c>
      <c r="D9" s="15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4" sqref="A4:F8"/>
    </sheetView>
  </sheetViews>
  <sheetFormatPr defaultRowHeight="14.4"/>
  <cols>
    <col min="1" max="1" width="27.44140625" bestFit="1" customWidth="1"/>
    <col min="2" max="2" width="15.5546875" bestFit="1" customWidth="1"/>
    <col min="3" max="4" width="10.109375" bestFit="1" customWidth="1"/>
    <col min="5" max="5" width="10.21875" bestFit="1" customWidth="1"/>
    <col min="6" max="6" width="15.44140625" bestFit="1" customWidth="1"/>
    <col min="7" max="7" width="10.77734375" bestFit="1" customWidth="1"/>
  </cols>
  <sheetData>
    <row r="1" spans="1:7">
      <c r="A1" s="13" t="s">
        <v>290</v>
      </c>
      <c r="B1" t="s">
        <v>293</v>
      </c>
    </row>
    <row r="3" spans="1:7">
      <c r="A3" s="13" t="s">
        <v>295</v>
      </c>
      <c r="B3" s="13" t="s">
        <v>305</v>
      </c>
    </row>
    <row r="4" spans="1:7">
      <c r="A4" s="13" t="s">
        <v>257</v>
      </c>
      <c r="B4" t="s">
        <v>17</v>
      </c>
      <c r="C4" t="s">
        <v>28</v>
      </c>
      <c r="D4" t="s">
        <v>12</v>
      </c>
      <c r="E4" t="s">
        <v>58</v>
      </c>
      <c r="F4" t="s">
        <v>66</v>
      </c>
      <c r="G4" t="s">
        <v>258</v>
      </c>
    </row>
    <row r="5" spans="1:7">
      <c r="A5" s="14" t="s">
        <v>23</v>
      </c>
      <c r="B5" s="15">
        <v>22</v>
      </c>
      <c r="C5" s="15">
        <v>13</v>
      </c>
      <c r="D5" s="15">
        <v>10</v>
      </c>
      <c r="E5" s="15">
        <v>11</v>
      </c>
      <c r="F5" s="15">
        <v>0</v>
      </c>
      <c r="G5" s="15">
        <v>56</v>
      </c>
    </row>
    <row r="6" spans="1:7">
      <c r="A6" s="14" t="s">
        <v>11</v>
      </c>
      <c r="B6" s="15">
        <v>18</v>
      </c>
      <c r="C6" s="15">
        <v>4</v>
      </c>
      <c r="D6" s="15">
        <v>15</v>
      </c>
      <c r="E6" s="15">
        <v>10</v>
      </c>
      <c r="F6" s="15">
        <v>1</v>
      </c>
      <c r="G6" s="15">
        <v>48</v>
      </c>
    </row>
    <row r="7" spans="1:7">
      <c r="A7" s="14" t="s">
        <v>61</v>
      </c>
      <c r="B7" s="15"/>
      <c r="C7" s="15">
        <v>0</v>
      </c>
      <c r="D7" s="15">
        <v>0</v>
      </c>
      <c r="E7" s="15"/>
      <c r="F7" s="15"/>
      <c r="G7" s="15">
        <v>0</v>
      </c>
    </row>
    <row r="8" spans="1:7">
      <c r="A8" s="14" t="s">
        <v>66</v>
      </c>
      <c r="B8" s="15">
        <v>3</v>
      </c>
      <c r="C8" s="15">
        <v>4</v>
      </c>
      <c r="D8" s="15"/>
      <c r="E8" s="15"/>
      <c r="F8" s="15"/>
      <c r="G8" s="15">
        <v>7</v>
      </c>
    </row>
    <row r="9" spans="1:7">
      <c r="A9" s="14" t="s">
        <v>258</v>
      </c>
      <c r="B9" s="15">
        <v>43</v>
      </c>
      <c r="C9" s="15">
        <v>21</v>
      </c>
      <c r="D9" s="15">
        <v>25</v>
      </c>
      <c r="E9" s="15">
        <v>21</v>
      </c>
      <c r="F9" s="15">
        <v>1</v>
      </c>
      <c r="G9" s="15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3:E12"/>
  <sheetViews>
    <sheetView workbookViewId="0">
      <selection activeCell="D3" sqref="D3:E11"/>
    </sheetView>
  </sheetViews>
  <sheetFormatPr defaultRowHeight="14.4"/>
  <cols>
    <col min="1" max="1" width="15.21875" bestFit="1" customWidth="1"/>
    <col min="2" max="2" width="15.77734375" bestFit="1" customWidth="1"/>
    <col min="4" max="4" width="17" customWidth="1"/>
    <col min="5" max="5" width="14" customWidth="1"/>
  </cols>
  <sheetData>
    <row r="3" spans="1:5">
      <c r="A3" s="13" t="s">
        <v>257</v>
      </c>
      <c r="B3" t="s">
        <v>296</v>
      </c>
      <c r="D3" t="s">
        <v>4</v>
      </c>
      <c r="E3" t="s">
        <v>298</v>
      </c>
    </row>
    <row r="4" spans="1:5">
      <c r="A4" s="14" t="s">
        <v>18</v>
      </c>
      <c r="B4" s="15">
        <v>789210.52631578944</v>
      </c>
      <c r="D4" t="s">
        <v>18</v>
      </c>
      <c r="E4" s="36">
        <f>B4/$B$12</f>
        <v>0.85846738239011167</v>
      </c>
    </row>
    <row r="5" spans="1:5">
      <c r="A5" s="14" t="s">
        <v>13</v>
      </c>
      <c r="B5" s="15">
        <v>1031000</v>
      </c>
      <c r="D5" t="s">
        <v>13</v>
      </c>
      <c r="E5" s="36">
        <f t="shared" ref="E5:E11" si="0">B5/$B$12</f>
        <v>1.1214749952410736</v>
      </c>
    </row>
    <row r="6" spans="1:5">
      <c r="A6" s="14" t="s">
        <v>42</v>
      </c>
      <c r="B6" s="15">
        <v>1043269.2307692308</v>
      </c>
      <c r="D6" t="s">
        <v>42</v>
      </c>
      <c r="E6" s="36">
        <f t="shared" si="0"/>
        <v>1.1348209074801956</v>
      </c>
    </row>
    <row r="7" spans="1:5">
      <c r="A7" s="14" t="s">
        <v>36</v>
      </c>
      <c r="B7" s="15">
        <v>979666.66666666663</v>
      </c>
      <c r="D7" t="s">
        <v>36</v>
      </c>
      <c r="E7" s="36">
        <f t="shared" si="0"/>
        <v>1.0656369256429084</v>
      </c>
    </row>
    <row r="8" spans="1:5">
      <c r="A8" s="14" t="s">
        <v>31</v>
      </c>
      <c r="B8" s="15">
        <v>868387.09677419357</v>
      </c>
      <c r="D8" t="s">
        <v>31</v>
      </c>
      <c r="E8" s="36">
        <f t="shared" si="0"/>
        <v>0.94459206132128848</v>
      </c>
    </row>
    <row r="9" spans="1:5">
      <c r="A9" s="14" t="s">
        <v>20</v>
      </c>
      <c r="B9" s="15">
        <v>749166.66666666663</v>
      </c>
      <c r="D9" t="s">
        <v>20</v>
      </c>
      <c r="E9" s="36">
        <f t="shared" si="0"/>
        <v>0.81490948975244515</v>
      </c>
    </row>
    <row r="10" spans="1:5">
      <c r="A10" s="14" t="s">
        <v>51</v>
      </c>
      <c r="B10" s="15">
        <v>939655.17241379316</v>
      </c>
      <c r="D10" t="s">
        <v>51</v>
      </c>
      <c r="E10" s="36">
        <f t="shared" si="0"/>
        <v>1.0221142386139757</v>
      </c>
    </row>
    <row r="11" spans="1:5">
      <c r="A11" s="14" t="s">
        <v>47</v>
      </c>
      <c r="B11" s="15">
        <v>901875</v>
      </c>
      <c r="D11" t="s">
        <v>47</v>
      </c>
      <c r="E11" s="36">
        <f t="shared" si="0"/>
        <v>0.98101868218529897</v>
      </c>
    </row>
    <row r="12" spans="1:5">
      <c r="A12" s="14" t="s">
        <v>258</v>
      </c>
      <c r="B12" s="15">
        <v>919325</v>
      </c>
    </row>
  </sheetData>
  <conditionalFormatting sqref="E4:E1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201"/>
  <sheetViews>
    <sheetView workbookViewId="0">
      <pane ySplit="1" topLeftCell="A2" activePane="bottomLeft" state="frozen"/>
      <selection pane="bottomLeft" activeCell="B16" sqref="A1:P201"/>
    </sheetView>
  </sheetViews>
  <sheetFormatPr defaultColWidth="20.88671875" defaultRowHeight="14.4"/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7" t="s">
        <v>247</v>
      </c>
      <c r="L1" s="9" t="s">
        <v>248</v>
      </c>
      <c r="M1" s="6" t="s">
        <v>249</v>
      </c>
      <c r="N1" s="6" t="s">
        <v>273</v>
      </c>
      <c r="O1" s="6" t="s">
        <v>290</v>
      </c>
      <c r="P1" s="7" t="s">
        <v>299</v>
      </c>
    </row>
    <row r="2" spans="1:16">
      <c r="A2" t="s">
        <v>10</v>
      </c>
      <c r="B2" t="s">
        <v>11</v>
      </c>
      <c r="C2">
        <v>27</v>
      </c>
      <c r="D2" t="s">
        <v>12</v>
      </c>
      <c r="E2" t="s">
        <v>13</v>
      </c>
      <c r="F2" t="s">
        <v>14</v>
      </c>
      <c r="G2" s="2">
        <v>990000</v>
      </c>
      <c r="H2" s="3">
        <v>0</v>
      </c>
      <c r="I2" s="3">
        <v>29</v>
      </c>
      <c r="J2" t="s">
        <v>15</v>
      </c>
      <c r="K2" s="8" t="str">
        <f>IF(B2="Male","M",IF(B2="Female","F",IF(B2="Prefer Not to Say","Undisclosed","Other")))</f>
        <v>M</v>
      </c>
      <c r="L2" t="str">
        <f>IF(C2="","Missing",IF(C2&lt;25,"&lt;25",IF(C2&lt;35,"25-34",IF(C2&lt;45,"35-44",IF(C2&lt;55,"45-54","55+")))))</f>
        <v>25-34</v>
      </c>
      <c r="M2" t="str">
        <f>IF(OR(F2="Entry",F2="Junior"),"Entry",IF(F2="Mid-Level","Mid",IF(F2="Senior","Senior",IF(OR(F2="Manager",F2="Senior Manager"),"Leadership","Review"))))</f>
        <v>Mid</v>
      </c>
      <c r="N2" t="str">
        <f>K2&amp;"|"&amp;D2</f>
        <v>M|Category C</v>
      </c>
      <c r="O2" t="str">
        <f>IF(OR(M2="Mid",M2="Senior",M2="Leadership"),"Yes","No")</f>
        <v>Yes</v>
      </c>
      <c r="P2" t="str">
        <f>IF(I2&gt;10,"Yes","No")</f>
        <v>Yes</v>
      </c>
    </row>
    <row r="3" spans="1:16">
      <c r="A3" t="s">
        <v>16</v>
      </c>
      <c r="B3" t="s">
        <v>11</v>
      </c>
      <c r="C3">
        <v>27</v>
      </c>
      <c r="D3" t="s">
        <v>17</v>
      </c>
      <c r="E3" t="s">
        <v>18</v>
      </c>
      <c r="F3" t="s">
        <v>14</v>
      </c>
      <c r="G3" s="2">
        <v>615000</v>
      </c>
      <c r="H3" s="3">
        <v>0</v>
      </c>
      <c r="I3" s="3">
        <v>29</v>
      </c>
      <c r="J3" t="s">
        <v>15</v>
      </c>
      <c r="K3" s="8" t="str">
        <f t="shared" ref="K3:K66" si="0">IF(B3="Male","M",IF(B3="Female","F",IF(B3="Prefer Not to Say","Undisclosed","Other")))</f>
        <v>M</v>
      </c>
      <c r="L3" t="str">
        <f t="shared" ref="L3:L66" si="1">IF(C3="","Missing",IF(C3&lt;25,"&lt;25",IF(C3&lt;35,"25-34",IF(C3&lt;45,"35-44",IF(C3&lt;55,"45-54","55+")))))</f>
        <v>25-34</v>
      </c>
      <c r="M3" t="str">
        <f t="shared" ref="M3:M66" si="2">IF(OR(F3="Entry",F3="Junior"),"Entry",IF(F3="Mid-Level","Mid",IF(F3="Senior","Senior",IF(OR(F3="Manager",F3="Senior Manager"),"Leadership","Review"))))</f>
        <v>Mid</v>
      </c>
      <c r="N3" t="str">
        <f t="shared" ref="N3:N66" si="3">K3&amp;"|"&amp;D3</f>
        <v>M|Category A</v>
      </c>
      <c r="O3" t="str">
        <f t="shared" ref="O3:O66" si="4">IF(OR(M3="Mid",M3="Senior",M3="Leadership"),"Yes","No")</f>
        <v>Yes</v>
      </c>
      <c r="P3" t="str">
        <f t="shared" ref="P3:P66" si="5">IF(I3&gt;10,"Yes","No")</f>
        <v>Yes</v>
      </c>
    </row>
    <row r="4" spans="1:16">
      <c r="A4" t="s">
        <v>19</v>
      </c>
      <c r="B4" t="s">
        <v>11</v>
      </c>
      <c r="C4">
        <v>27</v>
      </c>
      <c r="D4" t="s">
        <v>17</v>
      </c>
      <c r="E4" t="s">
        <v>20</v>
      </c>
      <c r="F4" t="s">
        <v>21</v>
      </c>
      <c r="G4" s="2">
        <v>405000</v>
      </c>
      <c r="H4" s="3">
        <v>1</v>
      </c>
      <c r="I4" s="3">
        <v>15</v>
      </c>
      <c r="J4" t="s">
        <v>15</v>
      </c>
      <c r="K4" s="8" t="str">
        <f t="shared" si="0"/>
        <v>M</v>
      </c>
      <c r="L4" t="str">
        <f t="shared" si="1"/>
        <v>25-34</v>
      </c>
      <c r="M4" t="str">
        <f t="shared" si="2"/>
        <v>Entry</v>
      </c>
      <c r="N4" t="str">
        <f t="shared" si="3"/>
        <v>M|Category A</v>
      </c>
      <c r="O4" t="str">
        <f t="shared" si="4"/>
        <v>No</v>
      </c>
      <c r="P4" t="str">
        <f t="shared" si="5"/>
        <v>Yes</v>
      </c>
    </row>
    <row r="5" spans="1:16">
      <c r="A5" t="s">
        <v>22</v>
      </c>
      <c r="B5" t="s">
        <v>23</v>
      </c>
      <c r="C5">
        <v>24</v>
      </c>
      <c r="D5" t="s">
        <v>12</v>
      </c>
      <c r="E5" t="s">
        <v>13</v>
      </c>
      <c r="F5" t="s">
        <v>24</v>
      </c>
      <c r="G5" s="2">
        <v>325000</v>
      </c>
      <c r="H5" s="3">
        <v>0</v>
      </c>
      <c r="I5" s="3">
        <v>19</v>
      </c>
      <c r="J5" t="s">
        <v>15</v>
      </c>
      <c r="K5" s="8" t="str">
        <f t="shared" si="0"/>
        <v>F</v>
      </c>
      <c r="L5" t="str">
        <f t="shared" si="1"/>
        <v>&lt;25</v>
      </c>
      <c r="M5" t="str">
        <f t="shared" si="2"/>
        <v>Entry</v>
      </c>
      <c r="N5" t="str">
        <f t="shared" si="3"/>
        <v>F|Category C</v>
      </c>
      <c r="O5" t="str">
        <f t="shared" si="4"/>
        <v>No</v>
      </c>
      <c r="P5" t="str">
        <f t="shared" si="5"/>
        <v>Yes</v>
      </c>
    </row>
    <row r="6" spans="1:16">
      <c r="A6" t="s">
        <v>25</v>
      </c>
      <c r="B6" t="s">
        <v>23</v>
      </c>
      <c r="C6">
        <v>52</v>
      </c>
      <c r="D6" t="s">
        <v>12</v>
      </c>
      <c r="E6" t="s">
        <v>13</v>
      </c>
      <c r="F6" t="s">
        <v>26</v>
      </c>
      <c r="G6" s="2">
        <v>1885000</v>
      </c>
      <c r="H6" s="3">
        <v>1</v>
      </c>
      <c r="I6" s="3">
        <v>70</v>
      </c>
      <c r="J6" t="s">
        <v>15</v>
      </c>
      <c r="K6" s="8" t="str">
        <f t="shared" si="0"/>
        <v>F</v>
      </c>
      <c r="L6" t="str">
        <f t="shared" si="1"/>
        <v>45-54</v>
      </c>
      <c r="M6" t="str">
        <f t="shared" si="2"/>
        <v>Leadership</v>
      </c>
      <c r="N6" t="str">
        <f t="shared" si="3"/>
        <v>F|Category C</v>
      </c>
      <c r="O6" t="str">
        <f t="shared" si="4"/>
        <v>Yes</v>
      </c>
      <c r="P6" t="str">
        <f t="shared" si="5"/>
        <v>Yes</v>
      </c>
    </row>
    <row r="7" spans="1:16">
      <c r="A7" t="s">
        <v>27</v>
      </c>
      <c r="B7" t="s">
        <v>11</v>
      </c>
      <c r="C7">
        <v>22</v>
      </c>
      <c r="D7" t="s">
        <v>28</v>
      </c>
      <c r="E7" t="s">
        <v>20</v>
      </c>
      <c r="F7" t="s">
        <v>24</v>
      </c>
      <c r="G7" s="2">
        <v>375000</v>
      </c>
      <c r="H7" s="3">
        <v>1</v>
      </c>
      <c r="I7" s="3">
        <v>15</v>
      </c>
      <c r="J7" t="s">
        <v>29</v>
      </c>
      <c r="K7" s="8" t="str">
        <f t="shared" si="0"/>
        <v>M</v>
      </c>
      <c r="L7" t="str">
        <f t="shared" si="1"/>
        <v>&lt;25</v>
      </c>
      <c r="M7" t="str">
        <f t="shared" si="2"/>
        <v>Entry</v>
      </c>
      <c r="N7" t="str">
        <f t="shared" si="3"/>
        <v>M|Category B</v>
      </c>
      <c r="O7" t="str">
        <f t="shared" si="4"/>
        <v>No</v>
      </c>
      <c r="P7" t="str">
        <f t="shared" si="5"/>
        <v>Yes</v>
      </c>
    </row>
    <row r="8" spans="1:16">
      <c r="A8" t="s">
        <v>30</v>
      </c>
      <c r="B8" t="s">
        <v>23</v>
      </c>
      <c r="C8">
        <v>23</v>
      </c>
      <c r="D8" t="s">
        <v>12</v>
      </c>
      <c r="E8" t="s">
        <v>31</v>
      </c>
      <c r="F8" t="s">
        <v>24</v>
      </c>
      <c r="G8" s="2">
        <v>355000</v>
      </c>
      <c r="H8" s="3">
        <v>1</v>
      </c>
      <c r="I8" s="3">
        <v>30</v>
      </c>
      <c r="J8" t="s">
        <v>29</v>
      </c>
      <c r="K8" s="8" t="str">
        <f t="shared" si="0"/>
        <v>F</v>
      </c>
      <c r="L8" t="str">
        <f t="shared" si="1"/>
        <v>&lt;25</v>
      </c>
      <c r="M8" t="str">
        <f t="shared" si="2"/>
        <v>Entry</v>
      </c>
      <c r="N8" t="str">
        <f t="shared" si="3"/>
        <v>F|Category C</v>
      </c>
      <c r="O8" t="str">
        <f t="shared" si="4"/>
        <v>No</v>
      </c>
      <c r="P8" t="str">
        <f t="shared" si="5"/>
        <v>Yes</v>
      </c>
    </row>
    <row r="9" spans="1:16">
      <c r="A9" t="s">
        <v>32</v>
      </c>
      <c r="B9" t="s">
        <v>23</v>
      </c>
      <c r="C9">
        <v>30</v>
      </c>
      <c r="D9" t="s">
        <v>12</v>
      </c>
      <c r="E9" t="s">
        <v>20</v>
      </c>
      <c r="F9" t="s">
        <v>14</v>
      </c>
      <c r="G9" s="2">
        <v>685000</v>
      </c>
      <c r="H9" s="3">
        <v>0</v>
      </c>
      <c r="I9" s="3">
        <v>32</v>
      </c>
      <c r="J9" t="s">
        <v>29</v>
      </c>
      <c r="K9" s="8" t="str">
        <f t="shared" si="0"/>
        <v>F</v>
      </c>
      <c r="L9" t="str">
        <f t="shared" si="1"/>
        <v>25-34</v>
      </c>
      <c r="M9" t="str">
        <f t="shared" si="2"/>
        <v>Mid</v>
      </c>
      <c r="N9" t="str">
        <f t="shared" si="3"/>
        <v>F|Category C</v>
      </c>
      <c r="O9" t="str">
        <f t="shared" si="4"/>
        <v>Yes</v>
      </c>
      <c r="P9" t="str">
        <f t="shared" si="5"/>
        <v>Yes</v>
      </c>
    </row>
    <row r="10" spans="1:16">
      <c r="A10" t="s">
        <v>33</v>
      </c>
      <c r="B10" t="s">
        <v>11</v>
      </c>
      <c r="C10">
        <v>43</v>
      </c>
      <c r="D10" t="s">
        <v>17</v>
      </c>
      <c r="E10" t="s">
        <v>20</v>
      </c>
      <c r="F10" t="s">
        <v>34</v>
      </c>
      <c r="G10" s="2">
        <v>960000</v>
      </c>
      <c r="H10" s="3">
        <v>0</v>
      </c>
      <c r="I10" s="3">
        <v>22</v>
      </c>
      <c r="J10" t="s">
        <v>15</v>
      </c>
      <c r="K10" s="8" t="str">
        <f t="shared" si="0"/>
        <v>M</v>
      </c>
      <c r="L10" t="str">
        <f t="shared" si="1"/>
        <v>35-44</v>
      </c>
      <c r="M10" t="str">
        <f t="shared" si="2"/>
        <v>Senior</v>
      </c>
      <c r="N10" t="str">
        <f t="shared" si="3"/>
        <v>M|Category A</v>
      </c>
      <c r="O10" t="str">
        <f t="shared" si="4"/>
        <v>Yes</v>
      </c>
      <c r="P10" t="str">
        <f t="shared" si="5"/>
        <v>Yes</v>
      </c>
    </row>
    <row r="11" spans="1:16">
      <c r="A11" t="s">
        <v>35</v>
      </c>
      <c r="B11" t="s">
        <v>11</v>
      </c>
      <c r="C11">
        <v>30</v>
      </c>
      <c r="D11" t="s">
        <v>17</v>
      </c>
      <c r="E11" t="s">
        <v>36</v>
      </c>
      <c r="F11" t="s">
        <v>21</v>
      </c>
      <c r="G11" s="2">
        <v>605000</v>
      </c>
      <c r="H11" s="3">
        <v>1</v>
      </c>
      <c r="I11" s="3">
        <v>30</v>
      </c>
      <c r="J11" t="s">
        <v>15</v>
      </c>
      <c r="K11" s="8" t="str">
        <f t="shared" si="0"/>
        <v>M</v>
      </c>
      <c r="L11" t="str">
        <f t="shared" si="1"/>
        <v>25-34</v>
      </c>
      <c r="M11" t="str">
        <f t="shared" si="2"/>
        <v>Entry</v>
      </c>
      <c r="N11" t="str">
        <f t="shared" si="3"/>
        <v>M|Category A</v>
      </c>
      <c r="O11" t="str">
        <f t="shared" si="4"/>
        <v>No</v>
      </c>
      <c r="P11" t="str">
        <f t="shared" si="5"/>
        <v>Yes</v>
      </c>
    </row>
    <row r="12" spans="1:16">
      <c r="A12" t="s">
        <v>37</v>
      </c>
      <c r="B12" t="s">
        <v>11</v>
      </c>
      <c r="C12">
        <v>37</v>
      </c>
      <c r="D12" t="s">
        <v>17</v>
      </c>
      <c r="E12" t="s">
        <v>13</v>
      </c>
      <c r="F12" t="s">
        <v>34</v>
      </c>
      <c r="G12" s="2">
        <v>1320000</v>
      </c>
      <c r="H12" s="3">
        <v>0</v>
      </c>
      <c r="I12" s="3">
        <v>28</v>
      </c>
      <c r="J12" t="s">
        <v>15</v>
      </c>
      <c r="K12" s="8" t="str">
        <f t="shared" si="0"/>
        <v>M</v>
      </c>
      <c r="L12" t="str">
        <f t="shared" si="1"/>
        <v>35-44</v>
      </c>
      <c r="M12" t="str">
        <f t="shared" si="2"/>
        <v>Senior</v>
      </c>
      <c r="N12" t="str">
        <f t="shared" si="3"/>
        <v>M|Category A</v>
      </c>
      <c r="O12" t="str">
        <f t="shared" si="4"/>
        <v>Yes</v>
      </c>
      <c r="P12" t="str">
        <f t="shared" si="5"/>
        <v>Yes</v>
      </c>
    </row>
    <row r="13" spans="1:16">
      <c r="A13" t="s">
        <v>38</v>
      </c>
      <c r="B13" t="s">
        <v>23</v>
      </c>
      <c r="C13">
        <v>22</v>
      </c>
      <c r="D13" t="s">
        <v>28</v>
      </c>
      <c r="E13" t="s">
        <v>36</v>
      </c>
      <c r="F13" t="s">
        <v>24</v>
      </c>
      <c r="G13" s="2">
        <v>480000</v>
      </c>
      <c r="H13" s="3">
        <v>0</v>
      </c>
      <c r="I13" s="3">
        <v>10</v>
      </c>
      <c r="J13" t="s">
        <v>15</v>
      </c>
      <c r="K13" s="8" t="str">
        <f t="shared" si="0"/>
        <v>F</v>
      </c>
      <c r="L13" t="str">
        <f t="shared" si="1"/>
        <v>&lt;25</v>
      </c>
      <c r="M13" t="str">
        <f t="shared" si="2"/>
        <v>Entry</v>
      </c>
      <c r="N13" t="str">
        <f t="shared" si="3"/>
        <v>F|Category B</v>
      </c>
      <c r="O13" t="str">
        <f t="shared" si="4"/>
        <v>No</v>
      </c>
      <c r="P13" t="str">
        <f t="shared" si="5"/>
        <v>No</v>
      </c>
    </row>
    <row r="14" spans="1:16">
      <c r="A14" t="s">
        <v>39</v>
      </c>
      <c r="B14" t="s">
        <v>23</v>
      </c>
      <c r="C14">
        <v>40</v>
      </c>
      <c r="D14" t="s">
        <v>12</v>
      </c>
      <c r="E14" t="s">
        <v>20</v>
      </c>
      <c r="F14" t="s">
        <v>26</v>
      </c>
      <c r="G14" s="2">
        <v>2515000</v>
      </c>
      <c r="H14" s="3">
        <v>2</v>
      </c>
      <c r="I14" s="3">
        <v>73</v>
      </c>
      <c r="J14" t="s">
        <v>29</v>
      </c>
      <c r="K14" s="8" t="str">
        <f t="shared" si="0"/>
        <v>F</v>
      </c>
      <c r="L14" t="str">
        <f t="shared" si="1"/>
        <v>35-44</v>
      </c>
      <c r="M14" t="str">
        <f t="shared" si="2"/>
        <v>Leadership</v>
      </c>
      <c r="N14" t="str">
        <f t="shared" si="3"/>
        <v>F|Category C</v>
      </c>
      <c r="O14" t="str">
        <f t="shared" si="4"/>
        <v>Yes</v>
      </c>
      <c r="P14" t="str">
        <f t="shared" si="5"/>
        <v>Yes</v>
      </c>
    </row>
    <row r="15" spans="1:16">
      <c r="A15" t="s">
        <v>40</v>
      </c>
      <c r="B15" t="s">
        <v>23</v>
      </c>
      <c r="C15">
        <v>24</v>
      </c>
      <c r="D15" t="s">
        <v>28</v>
      </c>
      <c r="E15" t="s">
        <v>13</v>
      </c>
      <c r="F15" t="s">
        <v>24</v>
      </c>
      <c r="G15" s="2">
        <v>340000</v>
      </c>
      <c r="H15" s="3">
        <v>0</v>
      </c>
      <c r="I15" s="3">
        <v>16</v>
      </c>
      <c r="J15" t="s">
        <v>29</v>
      </c>
      <c r="K15" s="8" t="str">
        <f t="shared" si="0"/>
        <v>F</v>
      </c>
      <c r="L15" t="str">
        <f t="shared" si="1"/>
        <v>&lt;25</v>
      </c>
      <c r="M15" t="str">
        <f t="shared" si="2"/>
        <v>Entry</v>
      </c>
      <c r="N15" t="str">
        <f t="shared" si="3"/>
        <v>F|Category B</v>
      </c>
      <c r="O15" t="str">
        <f t="shared" si="4"/>
        <v>No</v>
      </c>
      <c r="P15" t="str">
        <f t="shared" si="5"/>
        <v>Yes</v>
      </c>
    </row>
    <row r="16" spans="1:16">
      <c r="A16" t="s">
        <v>41</v>
      </c>
      <c r="B16" t="s">
        <v>23</v>
      </c>
      <c r="C16">
        <v>44</v>
      </c>
      <c r="D16" t="s">
        <v>28</v>
      </c>
      <c r="E16" t="s">
        <v>42</v>
      </c>
      <c r="F16" t="s">
        <v>43</v>
      </c>
      <c r="G16" s="2">
        <v>1970000</v>
      </c>
      <c r="H16" s="3">
        <v>1</v>
      </c>
      <c r="I16" s="3">
        <v>37</v>
      </c>
      <c r="J16" t="s">
        <v>15</v>
      </c>
      <c r="K16" s="8" t="str">
        <f t="shared" si="0"/>
        <v>F</v>
      </c>
      <c r="L16" t="str">
        <f t="shared" si="1"/>
        <v>35-44</v>
      </c>
      <c r="M16" t="str">
        <f t="shared" si="2"/>
        <v>Leadership</v>
      </c>
      <c r="N16" t="str">
        <f t="shared" si="3"/>
        <v>F|Category B</v>
      </c>
      <c r="O16" t="str">
        <f t="shared" si="4"/>
        <v>Yes</v>
      </c>
      <c r="P16" t="str">
        <f t="shared" si="5"/>
        <v>Yes</v>
      </c>
    </row>
    <row r="17" spans="1:16">
      <c r="A17" t="s">
        <v>44</v>
      </c>
      <c r="B17" t="s">
        <v>23</v>
      </c>
      <c r="C17">
        <v>34</v>
      </c>
      <c r="D17" t="s">
        <v>28</v>
      </c>
      <c r="E17" t="s">
        <v>42</v>
      </c>
      <c r="F17" t="s">
        <v>14</v>
      </c>
      <c r="G17" s="2">
        <v>610000</v>
      </c>
      <c r="H17" s="3">
        <v>0</v>
      </c>
      <c r="I17" s="3">
        <v>38</v>
      </c>
      <c r="J17" t="s">
        <v>29</v>
      </c>
      <c r="K17" s="8" t="str">
        <f t="shared" si="0"/>
        <v>F</v>
      </c>
      <c r="L17" t="str">
        <f t="shared" si="1"/>
        <v>25-34</v>
      </c>
      <c r="M17" t="str">
        <f t="shared" si="2"/>
        <v>Mid</v>
      </c>
      <c r="N17" t="str">
        <f t="shared" si="3"/>
        <v>F|Category B</v>
      </c>
      <c r="O17" t="str">
        <f t="shared" si="4"/>
        <v>Yes</v>
      </c>
      <c r="P17" t="str">
        <f t="shared" si="5"/>
        <v>Yes</v>
      </c>
    </row>
    <row r="18" spans="1:16">
      <c r="A18" t="s">
        <v>45</v>
      </c>
      <c r="B18" t="s">
        <v>23</v>
      </c>
      <c r="C18">
        <v>24</v>
      </c>
      <c r="D18" t="s">
        <v>12</v>
      </c>
      <c r="E18" t="s">
        <v>31</v>
      </c>
      <c r="F18" t="s">
        <v>21</v>
      </c>
      <c r="G18" s="2">
        <v>445000</v>
      </c>
      <c r="H18" s="3">
        <v>1</v>
      </c>
      <c r="I18" s="3">
        <v>36</v>
      </c>
      <c r="J18" t="s">
        <v>15</v>
      </c>
      <c r="K18" s="8" t="str">
        <f t="shared" si="0"/>
        <v>F</v>
      </c>
      <c r="L18" t="str">
        <f t="shared" si="1"/>
        <v>&lt;25</v>
      </c>
      <c r="M18" t="str">
        <f t="shared" si="2"/>
        <v>Entry</v>
      </c>
      <c r="N18" t="str">
        <f t="shared" si="3"/>
        <v>F|Category C</v>
      </c>
      <c r="O18" t="str">
        <f t="shared" si="4"/>
        <v>No</v>
      </c>
      <c r="P18" t="str">
        <f t="shared" si="5"/>
        <v>Yes</v>
      </c>
    </row>
    <row r="19" spans="1:16">
      <c r="A19" t="s">
        <v>46</v>
      </c>
      <c r="B19" t="s">
        <v>11</v>
      </c>
      <c r="C19">
        <v>39</v>
      </c>
      <c r="D19" t="s">
        <v>28</v>
      </c>
      <c r="E19" t="s">
        <v>47</v>
      </c>
      <c r="F19" t="s">
        <v>34</v>
      </c>
      <c r="G19" s="2">
        <v>1075000</v>
      </c>
      <c r="H19" s="3">
        <v>0</v>
      </c>
      <c r="I19" s="3">
        <v>58</v>
      </c>
      <c r="J19" t="s">
        <v>15</v>
      </c>
      <c r="K19" s="8" t="str">
        <f t="shared" si="0"/>
        <v>M</v>
      </c>
      <c r="L19" t="str">
        <f t="shared" si="1"/>
        <v>35-44</v>
      </c>
      <c r="M19" t="str">
        <f t="shared" si="2"/>
        <v>Senior</v>
      </c>
      <c r="N19" t="str">
        <f t="shared" si="3"/>
        <v>M|Category B</v>
      </c>
      <c r="O19" t="str">
        <f t="shared" si="4"/>
        <v>Yes</v>
      </c>
      <c r="P19" t="str">
        <f t="shared" si="5"/>
        <v>Yes</v>
      </c>
    </row>
    <row r="20" spans="1:16">
      <c r="A20" t="s">
        <v>48</v>
      </c>
      <c r="B20" t="s">
        <v>11</v>
      </c>
      <c r="C20">
        <v>37</v>
      </c>
      <c r="D20" t="s">
        <v>17</v>
      </c>
      <c r="E20" t="s">
        <v>42</v>
      </c>
      <c r="F20" t="s">
        <v>34</v>
      </c>
      <c r="G20" s="2">
        <v>1290000</v>
      </c>
      <c r="H20" s="3">
        <v>1</v>
      </c>
      <c r="I20" s="3">
        <v>53</v>
      </c>
      <c r="J20" t="s">
        <v>15</v>
      </c>
      <c r="K20" s="8" t="str">
        <f t="shared" si="0"/>
        <v>M</v>
      </c>
      <c r="L20" t="str">
        <f t="shared" si="1"/>
        <v>35-44</v>
      </c>
      <c r="M20" t="str">
        <f t="shared" si="2"/>
        <v>Senior</v>
      </c>
      <c r="N20" t="str">
        <f t="shared" si="3"/>
        <v>M|Category A</v>
      </c>
      <c r="O20" t="str">
        <f t="shared" si="4"/>
        <v>Yes</v>
      </c>
      <c r="P20" t="str">
        <f t="shared" si="5"/>
        <v>Yes</v>
      </c>
    </row>
    <row r="21" spans="1:16">
      <c r="A21" t="s">
        <v>49</v>
      </c>
      <c r="B21" t="s">
        <v>11</v>
      </c>
      <c r="C21">
        <v>30</v>
      </c>
      <c r="D21" t="s">
        <v>17</v>
      </c>
      <c r="E21" t="s">
        <v>42</v>
      </c>
      <c r="F21" t="s">
        <v>14</v>
      </c>
      <c r="G21" s="2">
        <v>910000</v>
      </c>
      <c r="H21" s="3">
        <v>0</v>
      </c>
      <c r="I21" s="3">
        <v>19</v>
      </c>
      <c r="J21" t="s">
        <v>15</v>
      </c>
      <c r="K21" s="8" t="str">
        <f t="shared" si="0"/>
        <v>M</v>
      </c>
      <c r="L21" t="str">
        <f t="shared" si="1"/>
        <v>25-34</v>
      </c>
      <c r="M21" t="str">
        <f t="shared" si="2"/>
        <v>Mid</v>
      </c>
      <c r="N21" t="str">
        <f t="shared" si="3"/>
        <v>M|Category A</v>
      </c>
      <c r="O21" t="str">
        <f t="shared" si="4"/>
        <v>Yes</v>
      </c>
      <c r="P21" t="str">
        <f t="shared" si="5"/>
        <v>Yes</v>
      </c>
    </row>
    <row r="22" spans="1:16">
      <c r="A22" t="s">
        <v>50</v>
      </c>
      <c r="B22" t="s">
        <v>23</v>
      </c>
      <c r="C22">
        <v>37</v>
      </c>
      <c r="D22" t="s">
        <v>12</v>
      </c>
      <c r="E22" t="s">
        <v>51</v>
      </c>
      <c r="F22" t="s">
        <v>43</v>
      </c>
      <c r="G22" s="2">
        <v>1840000</v>
      </c>
      <c r="H22" s="3">
        <v>0</v>
      </c>
      <c r="I22" s="3">
        <v>67</v>
      </c>
      <c r="J22" t="s">
        <v>15</v>
      </c>
      <c r="K22" s="8" t="str">
        <f t="shared" si="0"/>
        <v>F</v>
      </c>
      <c r="L22" t="str">
        <f t="shared" si="1"/>
        <v>35-44</v>
      </c>
      <c r="M22" t="str">
        <f t="shared" si="2"/>
        <v>Leadership</v>
      </c>
      <c r="N22" t="str">
        <f t="shared" si="3"/>
        <v>F|Category C</v>
      </c>
      <c r="O22" t="str">
        <f t="shared" si="4"/>
        <v>Yes</v>
      </c>
      <c r="P22" t="str">
        <f t="shared" si="5"/>
        <v>Yes</v>
      </c>
    </row>
    <row r="23" spans="1:16">
      <c r="A23" t="s">
        <v>52</v>
      </c>
      <c r="B23" t="s">
        <v>11</v>
      </c>
      <c r="C23">
        <v>30</v>
      </c>
      <c r="D23" t="s">
        <v>28</v>
      </c>
      <c r="E23" t="s">
        <v>42</v>
      </c>
      <c r="F23" t="s">
        <v>21</v>
      </c>
      <c r="G23" s="2">
        <v>615000</v>
      </c>
      <c r="H23" s="3">
        <v>0</v>
      </c>
      <c r="I23" s="3">
        <v>13</v>
      </c>
      <c r="J23" t="s">
        <v>15</v>
      </c>
      <c r="K23" s="8" t="str">
        <f t="shared" si="0"/>
        <v>M</v>
      </c>
      <c r="L23" t="str">
        <f t="shared" si="1"/>
        <v>25-34</v>
      </c>
      <c r="M23" t="str">
        <f t="shared" si="2"/>
        <v>Entry</v>
      </c>
      <c r="N23" t="str">
        <f t="shared" si="3"/>
        <v>M|Category B</v>
      </c>
      <c r="O23" t="str">
        <f t="shared" si="4"/>
        <v>No</v>
      </c>
      <c r="P23" t="str">
        <f t="shared" si="5"/>
        <v>Yes</v>
      </c>
    </row>
    <row r="24" spans="1:16">
      <c r="A24" t="s">
        <v>53</v>
      </c>
      <c r="B24" t="s">
        <v>11</v>
      </c>
      <c r="C24">
        <v>41</v>
      </c>
      <c r="D24" t="s">
        <v>17</v>
      </c>
      <c r="E24" t="s">
        <v>51</v>
      </c>
      <c r="F24" t="s">
        <v>34</v>
      </c>
      <c r="G24" s="2">
        <v>1005000</v>
      </c>
      <c r="H24" s="3">
        <v>0</v>
      </c>
      <c r="I24" s="3">
        <v>41</v>
      </c>
      <c r="J24" t="s">
        <v>15</v>
      </c>
      <c r="K24" s="8" t="str">
        <f t="shared" si="0"/>
        <v>M</v>
      </c>
      <c r="L24" t="str">
        <f t="shared" si="1"/>
        <v>35-44</v>
      </c>
      <c r="M24" t="str">
        <f t="shared" si="2"/>
        <v>Senior</v>
      </c>
      <c r="N24" t="str">
        <f t="shared" si="3"/>
        <v>M|Category A</v>
      </c>
      <c r="O24" t="str">
        <f t="shared" si="4"/>
        <v>Yes</v>
      </c>
      <c r="P24" t="str">
        <f t="shared" si="5"/>
        <v>Yes</v>
      </c>
    </row>
    <row r="25" spans="1:16">
      <c r="A25" t="s">
        <v>54</v>
      </c>
      <c r="B25" t="s">
        <v>23</v>
      </c>
      <c r="C25">
        <v>22</v>
      </c>
      <c r="D25" t="s">
        <v>12</v>
      </c>
      <c r="E25" t="s">
        <v>42</v>
      </c>
      <c r="F25" t="s">
        <v>24</v>
      </c>
      <c r="G25" s="2">
        <v>375000</v>
      </c>
      <c r="H25" s="3">
        <v>0</v>
      </c>
      <c r="I25" s="3">
        <v>10</v>
      </c>
      <c r="J25" t="s">
        <v>15</v>
      </c>
      <c r="K25" s="8" t="str">
        <f t="shared" si="0"/>
        <v>F</v>
      </c>
      <c r="L25" t="str">
        <f t="shared" si="1"/>
        <v>&lt;25</v>
      </c>
      <c r="M25" t="str">
        <f t="shared" si="2"/>
        <v>Entry</v>
      </c>
      <c r="N25" t="str">
        <f t="shared" si="3"/>
        <v>F|Category C</v>
      </c>
      <c r="O25" t="str">
        <f t="shared" si="4"/>
        <v>No</v>
      </c>
      <c r="P25" t="str">
        <f t="shared" si="5"/>
        <v>No</v>
      </c>
    </row>
    <row r="26" spans="1:16">
      <c r="A26" t="s">
        <v>55</v>
      </c>
      <c r="B26" t="s">
        <v>23</v>
      </c>
      <c r="C26">
        <v>39</v>
      </c>
      <c r="D26" t="s">
        <v>17</v>
      </c>
      <c r="E26" t="s">
        <v>18</v>
      </c>
      <c r="F26" t="s">
        <v>34</v>
      </c>
      <c r="G26" s="2">
        <v>915000</v>
      </c>
      <c r="H26" s="3">
        <v>3</v>
      </c>
      <c r="I26" s="3">
        <v>35</v>
      </c>
      <c r="J26" t="s">
        <v>15</v>
      </c>
      <c r="K26" s="8" t="str">
        <f t="shared" si="0"/>
        <v>F</v>
      </c>
      <c r="L26" t="str">
        <f t="shared" si="1"/>
        <v>35-44</v>
      </c>
      <c r="M26" t="str">
        <f t="shared" si="2"/>
        <v>Senior</v>
      </c>
      <c r="N26" t="str">
        <f t="shared" si="3"/>
        <v>F|Category A</v>
      </c>
      <c r="O26" t="str">
        <f t="shared" si="4"/>
        <v>Yes</v>
      </c>
      <c r="P26" t="str">
        <f t="shared" si="5"/>
        <v>Yes</v>
      </c>
    </row>
    <row r="27" spans="1:16">
      <c r="A27" t="s">
        <v>56</v>
      </c>
      <c r="B27" t="s">
        <v>23</v>
      </c>
      <c r="C27">
        <v>40</v>
      </c>
      <c r="D27" t="s">
        <v>28</v>
      </c>
      <c r="E27" t="s">
        <v>18</v>
      </c>
      <c r="F27" t="s">
        <v>43</v>
      </c>
      <c r="G27" s="2">
        <v>1695000</v>
      </c>
      <c r="H27" s="3">
        <v>0</v>
      </c>
      <c r="I27" s="3">
        <v>49</v>
      </c>
      <c r="J27" t="s">
        <v>15</v>
      </c>
      <c r="K27" s="8" t="str">
        <f t="shared" si="0"/>
        <v>F</v>
      </c>
      <c r="L27" t="str">
        <f t="shared" si="1"/>
        <v>35-44</v>
      </c>
      <c r="M27" t="str">
        <f t="shared" si="2"/>
        <v>Leadership</v>
      </c>
      <c r="N27" t="str">
        <f t="shared" si="3"/>
        <v>F|Category B</v>
      </c>
      <c r="O27" t="str">
        <f t="shared" si="4"/>
        <v>Yes</v>
      </c>
      <c r="P27" t="str">
        <f t="shared" si="5"/>
        <v>Yes</v>
      </c>
    </row>
    <row r="28" spans="1:16">
      <c r="A28" t="s">
        <v>57</v>
      </c>
      <c r="B28" t="s">
        <v>11</v>
      </c>
      <c r="C28">
        <v>42</v>
      </c>
      <c r="D28" t="s">
        <v>58</v>
      </c>
      <c r="E28" t="s">
        <v>42</v>
      </c>
      <c r="F28" t="s">
        <v>34</v>
      </c>
      <c r="G28" s="2">
        <v>1485000</v>
      </c>
      <c r="H28" s="3">
        <v>1</v>
      </c>
      <c r="I28" s="3">
        <v>51</v>
      </c>
      <c r="J28" t="s">
        <v>15</v>
      </c>
      <c r="K28" s="8" t="str">
        <f>IF(B28="Male","M",IF(B28="Female","F",IF(B28="Prefer Not to Say","Undisclosed","Other")))</f>
        <v>M</v>
      </c>
      <c r="L28" t="str">
        <f t="shared" si="1"/>
        <v>35-44</v>
      </c>
      <c r="M28" t="str">
        <f t="shared" si="2"/>
        <v>Senior</v>
      </c>
      <c r="N28" t="str">
        <f t="shared" si="3"/>
        <v>M|Category D</v>
      </c>
      <c r="O28" t="str">
        <f t="shared" si="4"/>
        <v>Yes</v>
      </c>
      <c r="P28" t="str">
        <f t="shared" si="5"/>
        <v>Yes</v>
      </c>
    </row>
    <row r="29" spans="1:16">
      <c r="A29" t="s">
        <v>59</v>
      </c>
      <c r="B29" t="s">
        <v>23</v>
      </c>
      <c r="C29">
        <v>31</v>
      </c>
      <c r="D29" t="s">
        <v>17</v>
      </c>
      <c r="E29" t="s">
        <v>13</v>
      </c>
      <c r="F29" t="s">
        <v>34</v>
      </c>
      <c r="G29" s="2">
        <v>955000</v>
      </c>
      <c r="H29" s="3">
        <v>1</v>
      </c>
      <c r="I29" s="3">
        <v>52</v>
      </c>
      <c r="J29" t="s">
        <v>29</v>
      </c>
      <c r="K29" s="8" t="str">
        <f t="shared" si="0"/>
        <v>F</v>
      </c>
      <c r="L29" t="str">
        <f t="shared" si="1"/>
        <v>25-34</v>
      </c>
      <c r="M29" t="str">
        <f t="shared" si="2"/>
        <v>Senior</v>
      </c>
      <c r="N29" t="str">
        <f t="shared" si="3"/>
        <v>F|Category A</v>
      </c>
      <c r="O29" t="str">
        <f t="shared" si="4"/>
        <v>Yes</v>
      </c>
      <c r="P29" t="str">
        <f t="shared" si="5"/>
        <v>Yes</v>
      </c>
    </row>
    <row r="30" spans="1:16">
      <c r="A30" t="s">
        <v>60</v>
      </c>
      <c r="B30" t="s">
        <v>61</v>
      </c>
      <c r="C30">
        <v>37</v>
      </c>
      <c r="D30" t="s">
        <v>12</v>
      </c>
      <c r="E30" t="s">
        <v>42</v>
      </c>
      <c r="F30" t="s">
        <v>43</v>
      </c>
      <c r="G30" s="2">
        <v>1925000</v>
      </c>
      <c r="H30" s="3">
        <v>0</v>
      </c>
      <c r="I30" s="3">
        <v>40</v>
      </c>
      <c r="J30" t="s">
        <v>15</v>
      </c>
      <c r="K30" s="8" t="str">
        <f t="shared" si="0"/>
        <v>Other</v>
      </c>
      <c r="L30" t="str">
        <f t="shared" si="1"/>
        <v>35-44</v>
      </c>
      <c r="M30" t="str">
        <f t="shared" si="2"/>
        <v>Leadership</v>
      </c>
      <c r="N30" t="str">
        <f t="shared" si="3"/>
        <v>Other|Category C</v>
      </c>
      <c r="O30" t="str">
        <f t="shared" si="4"/>
        <v>Yes</v>
      </c>
      <c r="P30" t="str">
        <f t="shared" si="5"/>
        <v>Yes</v>
      </c>
    </row>
    <row r="31" spans="1:16">
      <c r="A31" t="s">
        <v>62</v>
      </c>
      <c r="B31" t="s">
        <v>11</v>
      </c>
      <c r="C31">
        <v>33</v>
      </c>
      <c r="D31" t="s">
        <v>12</v>
      </c>
      <c r="E31" t="s">
        <v>20</v>
      </c>
      <c r="F31" t="s">
        <v>14</v>
      </c>
      <c r="G31" s="2">
        <v>945000</v>
      </c>
      <c r="H31" s="3">
        <v>1</v>
      </c>
      <c r="I31" s="3">
        <v>48</v>
      </c>
      <c r="J31" t="s">
        <v>15</v>
      </c>
      <c r="K31" s="8" t="str">
        <f t="shared" si="0"/>
        <v>M</v>
      </c>
      <c r="L31" t="str">
        <f t="shared" si="1"/>
        <v>25-34</v>
      </c>
      <c r="M31" t="str">
        <f t="shared" si="2"/>
        <v>Mid</v>
      </c>
      <c r="N31" t="str">
        <f t="shared" si="3"/>
        <v>M|Category C</v>
      </c>
      <c r="O31" t="str">
        <f t="shared" si="4"/>
        <v>Yes</v>
      </c>
      <c r="P31" t="str">
        <f t="shared" si="5"/>
        <v>Yes</v>
      </c>
    </row>
    <row r="32" spans="1:16">
      <c r="A32" t="s">
        <v>63</v>
      </c>
      <c r="B32" t="s">
        <v>23</v>
      </c>
      <c r="C32">
        <v>29</v>
      </c>
      <c r="D32" t="s">
        <v>58</v>
      </c>
      <c r="E32" t="s">
        <v>42</v>
      </c>
      <c r="F32" t="s">
        <v>21</v>
      </c>
      <c r="G32" s="2">
        <v>470000</v>
      </c>
      <c r="H32" s="3">
        <v>1</v>
      </c>
      <c r="I32" s="3">
        <v>19</v>
      </c>
      <c r="J32" t="s">
        <v>15</v>
      </c>
      <c r="K32" s="8" t="str">
        <f t="shared" si="0"/>
        <v>F</v>
      </c>
      <c r="L32" t="str">
        <f>IF(C32="","Missing",IF(C32&lt;25,"&lt;25",IF(C32&lt;35,"25-34",IF(C32&lt;45,"35-44",IF(C32&lt;55,"45-54","55+")))))</f>
        <v>25-34</v>
      </c>
      <c r="M32" t="str">
        <f t="shared" si="2"/>
        <v>Entry</v>
      </c>
      <c r="N32" t="str">
        <f t="shared" si="3"/>
        <v>F|Category D</v>
      </c>
      <c r="O32" t="str">
        <f t="shared" si="4"/>
        <v>No</v>
      </c>
      <c r="P32" t="str">
        <f t="shared" si="5"/>
        <v>Yes</v>
      </c>
    </row>
    <row r="33" spans="1:16">
      <c r="A33" t="s">
        <v>64</v>
      </c>
      <c r="B33" t="s">
        <v>11</v>
      </c>
      <c r="C33">
        <v>36</v>
      </c>
      <c r="D33" t="s">
        <v>28</v>
      </c>
      <c r="E33" t="s">
        <v>13</v>
      </c>
      <c r="F33" t="s">
        <v>14</v>
      </c>
      <c r="G33" s="2">
        <v>650000</v>
      </c>
      <c r="H33" s="3">
        <v>0</v>
      </c>
      <c r="I33" s="3">
        <v>28</v>
      </c>
      <c r="J33" t="s">
        <v>15</v>
      </c>
      <c r="K33" s="8" t="str">
        <f t="shared" si="0"/>
        <v>M</v>
      </c>
      <c r="L33" t="str">
        <f t="shared" si="1"/>
        <v>35-44</v>
      </c>
      <c r="M33" t="str">
        <f t="shared" si="2"/>
        <v>Mid</v>
      </c>
      <c r="N33" t="str">
        <f t="shared" si="3"/>
        <v>M|Category B</v>
      </c>
      <c r="O33" t="str">
        <f t="shared" si="4"/>
        <v>Yes</v>
      </c>
      <c r="P33" t="str">
        <f t="shared" si="5"/>
        <v>Yes</v>
      </c>
    </row>
    <row r="34" spans="1:16">
      <c r="A34" t="s">
        <v>65</v>
      </c>
      <c r="B34" t="s">
        <v>23</v>
      </c>
      <c r="C34">
        <v>46</v>
      </c>
      <c r="D34" t="s">
        <v>66</v>
      </c>
      <c r="E34" t="s">
        <v>42</v>
      </c>
      <c r="F34" t="s">
        <v>43</v>
      </c>
      <c r="G34" s="2">
        <v>1600000</v>
      </c>
      <c r="H34" s="3">
        <v>0</v>
      </c>
      <c r="I34" s="3">
        <v>59</v>
      </c>
      <c r="J34" t="s">
        <v>15</v>
      </c>
      <c r="K34" s="8" t="str">
        <f t="shared" si="0"/>
        <v>F</v>
      </c>
      <c r="L34" t="str">
        <f t="shared" si="1"/>
        <v>45-54</v>
      </c>
      <c r="M34" t="str">
        <f t="shared" si="2"/>
        <v>Leadership</v>
      </c>
      <c r="N34" t="str">
        <f t="shared" si="3"/>
        <v>F|Prefer Not to Say</v>
      </c>
      <c r="O34" t="str">
        <f t="shared" si="4"/>
        <v>Yes</v>
      </c>
      <c r="P34" t="str">
        <f t="shared" si="5"/>
        <v>Yes</v>
      </c>
    </row>
    <row r="35" spans="1:16">
      <c r="A35" t="s">
        <v>67</v>
      </c>
      <c r="B35" t="s">
        <v>11</v>
      </c>
      <c r="C35">
        <v>39</v>
      </c>
      <c r="D35" t="s">
        <v>17</v>
      </c>
      <c r="E35" t="s">
        <v>13</v>
      </c>
      <c r="F35" t="s">
        <v>34</v>
      </c>
      <c r="G35" s="2">
        <v>1215000</v>
      </c>
      <c r="H35" s="3">
        <v>3</v>
      </c>
      <c r="I35" s="3">
        <v>26</v>
      </c>
      <c r="J35" t="s">
        <v>29</v>
      </c>
      <c r="K35" s="8" t="str">
        <f t="shared" si="0"/>
        <v>M</v>
      </c>
      <c r="L35" t="str">
        <f t="shared" si="1"/>
        <v>35-44</v>
      </c>
      <c r="M35" t="str">
        <f t="shared" si="2"/>
        <v>Senior</v>
      </c>
      <c r="N35" t="str">
        <f t="shared" si="3"/>
        <v>M|Category A</v>
      </c>
      <c r="O35" t="str">
        <f t="shared" si="4"/>
        <v>Yes</v>
      </c>
      <c r="P35" t="str">
        <f t="shared" si="5"/>
        <v>Yes</v>
      </c>
    </row>
    <row r="36" spans="1:16">
      <c r="A36" t="s">
        <v>68</v>
      </c>
      <c r="B36" t="s">
        <v>11</v>
      </c>
      <c r="C36">
        <v>33</v>
      </c>
      <c r="D36" t="s">
        <v>12</v>
      </c>
      <c r="E36" t="s">
        <v>36</v>
      </c>
      <c r="F36" t="s">
        <v>34</v>
      </c>
      <c r="G36" s="2">
        <v>1185000</v>
      </c>
      <c r="H36" s="3">
        <v>0</v>
      </c>
      <c r="I36" s="3">
        <v>33</v>
      </c>
      <c r="J36" t="s">
        <v>15</v>
      </c>
      <c r="K36" s="8" t="str">
        <f t="shared" si="0"/>
        <v>M</v>
      </c>
      <c r="L36" t="str">
        <f t="shared" si="1"/>
        <v>25-34</v>
      </c>
      <c r="M36" t="str">
        <f t="shared" si="2"/>
        <v>Senior</v>
      </c>
      <c r="N36" t="str">
        <f t="shared" si="3"/>
        <v>M|Category C</v>
      </c>
      <c r="O36" t="str">
        <f t="shared" si="4"/>
        <v>Yes</v>
      </c>
      <c r="P36" t="str">
        <f t="shared" si="5"/>
        <v>Yes</v>
      </c>
    </row>
    <row r="37" spans="1:16">
      <c r="A37" t="s">
        <v>69</v>
      </c>
      <c r="B37" t="s">
        <v>11</v>
      </c>
      <c r="C37">
        <v>31</v>
      </c>
      <c r="D37" t="s">
        <v>28</v>
      </c>
      <c r="E37" t="s">
        <v>31</v>
      </c>
      <c r="F37" t="s">
        <v>14</v>
      </c>
      <c r="G37" s="2">
        <v>625000</v>
      </c>
      <c r="H37" s="3">
        <v>0</v>
      </c>
      <c r="I37" s="3">
        <v>42</v>
      </c>
      <c r="J37" t="s">
        <v>15</v>
      </c>
      <c r="K37" s="8" t="str">
        <f t="shared" si="0"/>
        <v>M</v>
      </c>
      <c r="L37" t="str">
        <f t="shared" si="1"/>
        <v>25-34</v>
      </c>
      <c r="M37" t="str">
        <f t="shared" si="2"/>
        <v>Mid</v>
      </c>
      <c r="N37" t="str">
        <f t="shared" si="3"/>
        <v>M|Category B</v>
      </c>
      <c r="O37" t="str">
        <f t="shared" si="4"/>
        <v>Yes</v>
      </c>
      <c r="P37" t="str">
        <f t="shared" si="5"/>
        <v>Yes</v>
      </c>
    </row>
    <row r="38" spans="1:16">
      <c r="A38" t="s">
        <v>70</v>
      </c>
      <c r="B38" t="s">
        <v>23</v>
      </c>
      <c r="C38">
        <v>31</v>
      </c>
      <c r="D38" t="s">
        <v>17</v>
      </c>
      <c r="E38" t="s">
        <v>31</v>
      </c>
      <c r="F38" t="s">
        <v>14</v>
      </c>
      <c r="G38" s="2">
        <v>685000</v>
      </c>
      <c r="H38" s="3">
        <v>1</v>
      </c>
      <c r="I38" s="3">
        <v>50</v>
      </c>
      <c r="J38" t="s">
        <v>15</v>
      </c>
      <c r="K38" s="8" t="str">
        <f t="shared" si="0"/>
        <v>F</v>
      </c>
      <c r="L38" t="str">
        <f t="shared" si="1"/>
        <v>25-34</v>
      </c>
      <c r="M38" t="str">
        <f t="shared" si="2"/>
        <v>Mid</v>
      </c>
      <c r="N38" t="str">
        <f t="shared" si="3"/>
        <v>F|Category A</v>
      </c>
      <c r="O38" t="str">
        <f t="shared" si="4"/>
        <v>Yes</v>
      </c>
      <c r="P38" t="str">
        <f t="shared" si="5"/>
        <v>Yes</v>
      </c>
    </row>
    <row r="39" spans="1:16">
      <c r="A39" t="s">
        <v>71</v>
      </c>
      <c r="B39" t="s">
        <v>11</v>
      </c>
      <c r="C39">
        <v>32</v>
      </c>
      <c r="D39" t="s">
        <v>58</v>
      </c>
      <c r="E39" t="s">
        <v>42</v>
      </c>
      <c r="F39" t="s">
        <v>14</v>
      </c>
      <c r="G39" s="2">
        <v>905000</v>
      </c>
      <c r="H39" s="3">
        <v>1</v>
      </c>
      <c r="I39" s="3">
        <v>42</v>
      </c>
      <c r="J39" t="s">
        <v>15</v>
      </c>
      <c r="K39" s="8" t="str">
        <f t="shared" si="0"/>
        <v>M</v>
      </c>
      <c r="L39" t="str">
        <f t="shared" si="1"/>
        <v>25-34</v>
      </c>
      <c r="M39" t="str">
        <f t="shared" si="2"/>
        <v>Mid</v>
      </c>
      <c r="N39" t="str">
        <f t="shared" si="3"/>
        <v>M|Category D</v>
      </c>
      <c r="O39" t="str">
        <f t="shared" si="4"/>
        <v>Yes</v>
      </c>
      <c r="P39" t="str">
        <f t="shared" si="5"/>
        <v>Yes</v>
      </c>
    </row>
    <row r="40" spans="1:16">
      <c r="A40" t="s">
        <v>72</v>
      </c>
      <c r="B40" t="s">
        <v>23</v>
      </c>
      <c r="C40">
        <v>41</v>
      </c>
      <c r="D40" t="s">
        <v>28</v>
      </c>
      <c r="E40" t="s">
        <v>31</v>
      </c>
      <c r="F40" t="s">
        <v>43</v>
      </c>
      <c r="G40" s="2">
        <v>1560000</v>
      </c>
      <c r="H40" s="3">
        <v>1</v>
      </c>
      <c r="I40" s="3">
        <v>47</v>
      </c>
      <c r="J40" t="s">
        <v>15</v>
      </c>
      <c r="K40" s="8" t="str">
        <f t="shared" si="0"/>
        <v>F</v>
      </c>
      <c r="L40" t="str">
        <f t="shared" si="1"/>
        <v>35-44</v>
      </c>
      <c r="M40" t="str">
        <f t="shared" si="2"/>
        <v>Leadership</v>
      </c>
      <c r="N40" t="str">
        <f t="shared" si="3"/>
        <v>F|Category B</v>
      </c>
      <c r="O40" t="str">
        <f t="shared" si="4"/>
        <v>Yes</v>
      </c>
      <c r="P40" t="str">
        <f t="shared" si="5"/>
        <v>Yes</v>
      </c>
    </row>
    <row r="41" spans="1:16">
      <c r="A41" t="s">
        <v>73</v>
      </c>
      <c r="B41" t="s">
        <v>11</v>
      </c>
      <c r="C41">
        <v>42</v>
      </c>
      <c r="D41" t="s">
        <v>12</v>
      </c>
      <c r="E41" t="s">
        <v>20</v>
      </c>
      <c r="F41" t="s">
        <v>43</v>
      </c>
      <c r="G41" s="2">
        <v>1470000</v>
      </c>
      <c r="H41" s="3">
        <v>3</v>
      </c>
      <c r="I41" s="3">
        <v>36</v>
      </c>
      <c r="J41" t="s">
        <v>29</v>
      </c>
      <c r="K41" s="8" t="str">
        <f t="shared" si="0"/>
        <v>M</v>
      </c>
      <c r="L41" t="str">
        <f t="shared" si="1"/>
        <v>35-44</v>
      </c>
      <c r="M41" t="str">
        <f t="shared" si="2"/>
        <v>Leadership</v>
      </c>
      <c r="N41" t="str">
        <f t="shared" si="3"/>
        <v>M|Category C</v>
      </c>
      <c r="O41" t="str">
        <f t="shared" si="4"/>
        <v>Yes</v>
      </c>
      <c r="P41" t="str">
        <f t="shared" si="5"/>
        <v>Yes</v>
      </c>
    </row>
    <row r="42" spans="1:16">
      <c r="A42" t="s">
        <v>74</v>
      </c>
      <c r="B42" t="s">
        <v>11</v>
      </c>
      <c r="C42">
        <v>37</v>
      </c>
      <c r="D42" t="s">
        <v>28</v>
      </c>
      <c r="E42" t="s">
        <v>47</v>
      </c>
      <c r="F42" t="s">
        <v>34</v>
      </c>
      <c r="G42" s="2">
        <v>1160000</v>
      </c>
      <c r="H42" s="3">
        <v>0</v>
      </c>
      <c r="I42" s="3">
        <v>26</v>
      </c>
      <c r="J42" t="s">
        <v>15</v>
      </c>
      <c r="K42" s="8" t="str">
        <f t="shared" si="0"/>
        <v>M</v>
      </c>
      <c r="L42" t="str">
        <f t="shared" si="1"/>
        <v>35-44</v>
      </c>
      <c r="M42" t="str">
        <f t="shared" si="2"/>
        <v>Senior</v>
      </c>
      <c r="N42" t="str">
        <f t="shared" si="3"/>
        <v>M|Category B</v>
      </c>
      <c r="O42" t="str">
        <f t="shared" si="4"/>
        <v>Yes</v>
      </c>
      <c r="P42" t="str">
        <f t="shared" si="5"/>
        <v>Yes</v>
      </c>
    </row>
    <row r="43" spans="1:16">
      <c r="A43" t="s">
        <v>75</v>
      </c>
      <c r="B43" t="s">
        <v>23</v>
      </c>
      <c r="C43">
        <v>38</v>
      </c>
      <c r="D43" t="s">
        <v>28</v>
      </c>
      <c r="E43" t="s">
        <v>36</v>
      </c>
      <c r="F43" t="s">
        <v>34</v>
      </c>
      <c r="G43" s="2">
        <v>1265000</v>
      </c>
      <c r="H43" s="3">
        <v>0</v>
      </c>
      <c r="I43" s="3">
        <v>34</v>
      </c>
      <c r="J43" t="s">
        <v>15</v>
      </c>
      <c r="K43" s="8" t="str">
        <f t="shared" si="0"/>
        <v>F</v>
      </c>
      <c r="L43" t="str">
        <f t="shared" si="1"/>
        <v>35-44</v>
      </c>
      <c r="M43" t="str">
        <f t="shared" si="2"/>
        <v>Senior</v>
      </c>
      <c r="N43" t="str">
        <f t="shared" si="3"/>
        <v>F|Category B</v>
      </c>
      <c r="O43" t="str">
        <f t="shared" si="4"/>
        <v>Yes</v>
      </c>
      <c r="P43" t="str">
        <f t="shared" si="5"/>
        <v>Yes</v>
      </c>
    </row>
    <row r="44" spans="1:16">
      <c r="A44" t="s">
        <v>76</v>
      </c>
      <c r="B44" t="s">
        <v>23</v>
      </c>
      <c r="C44">
        <v>43</v>
      </c>
      <c r="D44" t="s">
        <v>28</v>
      </c>
      <c r="E44" t="s">
        <v>42</v>
      </c>
      <c r="F44" t="s">
        <v>43</v>
      </c>
      <c r="G44" s="2">
        <v>1670000</v>
      </c>
      <c r="H44" s="3">
        <v>1</v>
      </c>
      <c r="I44" s="3">
        <v>50</v>
      </c>
      <c r="J44" t="s">
        <v>15</v>
      </c>
      <c r="K44" s="8" t="str">
        <f t="shared" si="0"/>
        <v>F</v>
      </c>
      <c r="L44" t="str">
        <f t="shared" si="1"/>
        <v>35-44</v>
      </c>
      <c r="M44" t="str">
        <f t="shared" si="2"/>
        <v>Leadership</v>
      </c>
      <c r="N44" t="str">
        <f t="shared" si="3"/>
        <v>F|Category B</v>
      </c>
      <c r="O44" t="str">
        <f t="shared" si="4"/>
        <v>Yes</v>
      </c>
      <c r="P44" t="str">
        <f t="shared" si="5"/>
        <v>Yes</v>
      </c>
    </row>
    <row r="45" spans="1:16">
      <c r="A45" t="s">
        <v>77</v>
      </c>
      <c r="B45" t="s">
        <v>23</v>
      </c>
      <c r="C45">
        <v>23</v>
      </c>
      <c r="D45" t="s">
        <v>28</v>
      </c>
      <c r="E45" t="s">
        <v>20</v>
      </c>
      <c r="F45" t="s">
        <v>24</v>
      </c>
      <c r="G45" s="2">
        <v>345000</v>
      </c>
      <c r="H45" s="3">
        <v>0</v>
      </c>
      <c r="I45" s="3">
        <v>16</v>
      </c>
      <c r="J45" t="s">
        <v>15</v>
      </c>
      <c r="K45" s="8" t="str">
        <f t="shared" si="0"/>
        <v>F</v>
      </c>
      <c r="L45" t="str">
        <f t="shared" si="1"/>
        <v>&lt;25</v>
      </c>
      <c r="M45" t="str">
        <f t="shared" si="2"/>
        <v>Entry</v>
      </c>
      <c r="N45" t="str">
        <f t="shared" si="3"/>
        <v>F|Category B</v>
      </c>
      <c r="O45" t="str">
        <f t="shared" si="4"/>
        <v>No</v>
      </c>
      <c r="P45" t="str">
        <f t="shared" si="5"/>
        <v>Yes</v>
      </c>
    </row>
    <row r="46" spans="1:16">
      <c r="A46" t="s">
        <v>78</v>
      </c>
      <c r="B46" t="s">
        <v>23</v>
      </c>
      <c r="C46">
        <v>35</v>
      </c>
      <c r="D46" t="s">
        <v>17</v>
      </c>
      <c r="E46" t="s">
        <v>47</v>
      </c>
      <c r="F46" t="s">
        <v>14</v>
      </c>
      <c r="G46" s="2">
        <v>660000</v>
      </c>
      <c r="H46" s="3">
        <v>0</v>
      </c>
      <c r="I46" s="3">
        <v>27</v>
      </c>
      <c r="J46" t="s">
        <v>15</v>
      </c>
      <c r="K46" s="8" t="str">
        <f t="shared" si="0"/>
        <v>F</v>
      </c>
      <c r="L46" t="str">
        <f t="shared" si="1"/>
        <v>35-44</v>
      </c>
      <c r="M46" t="str">
        <f t="shared" si="2"/>
        <v>Mid</v>
      </c>
      <c r="N46" t="str">
        <f t="shared" si="3"/>
        <v>F|Category A</v>
      </c>
      <c r="O46" t="str">
        <f t="shared" si="4"/>
        <v>Yes</v>
      </c>
      <c r="P46" t="str">
        <f t="shared" si="5"/>
        <v>Yes</v>
      </c>
    </row>
    <row r="47" spans="1:16">
      <c r="A47" t="s">
        <v>79</v>
      </c>
      <c r="B47" t="s">
        <v>23</v>
      </c>
      <c r="C47">
        <v>24</v>
      </c>
      <c r="D47" t="s">
        <v>28</v>
      </c>
      <c r="E47" t="s">
        <v>36</v>
      </c>
      <c r="F47" t="s">
        <v>21</v>
      </c>
      <c r="G47" s="2">
        <v>575000</v>
      </c>
      <c r="H47" s="3">
        <v>0</v>
      </c>
      <c r="I47" s="3">
        <v>31</v>
      </c>
      <c r="J47" t="s">
        <v>15</v>
      </c>
      <c r="K47" s="8" t="str">
        <f>IF(B47="Male","M",IF(B47="Female","F",IF(B47="Prefer Not to Say","Undisclosed","Other")))</f>
        <v>F</v>
      </c>
      <c r="L47" t="str">
        <f t="shared" si="1"/>
        <v>&lt;25</v>
      </c>
      <c r="M47" t="str">
        <f t="shared" si="2"/>
        <v>Entry</v>
      </c>
      <c r="N47" t="str">
        <f t="shared" si="3"/>
        <v>F|Category B</v>
      </c>
      <c r="O47" t="str">
        <f t="shared" si="4"/>
        <v>No</v>
      </c>
      <c r="P47" t="str">
        <f t="shared" si="5"/>
        <v>Yes</v>
      </c>
    </row>
    <row r="48" spans="1:16">
      <c r="A48" t="s">
        <v>80</v>
      </c>
      <c r="B48" t="s">
        <v>11</v>
      </c>
      <c r="C48">
        <v>36</v>
      </c>
      <c r="D48" t="s">
        <v>58</v>
      </c>
      <c r="E48" t="s">
        <v>31</v>
      </c>
      <c r="F48" t="s">
        <v>34</v>
      </c>
      <c r="G48" s="2">
        <v>1320000</v>
      </c>
      <c r="H48" s="3">
        <v>1</v>
      </c>
      <c r="I48" s="3">
        <v>55</v>
      </c>
      <c r="J48" t="s">
        <v>15</v>
      </c>
      <c r="K48" s="8" t="str">
        <f t="shared" si="0"/>
        <v>M</v>
      </c>
      <c r="L48" t="str">
        <f t="shared" si="1"/>
        <v>35-44</v>
      </c>
      <c r="M48" t="str">
        <f t="shared" si="2"/>
        <v>Senior</v>
      </c>
      <c r="N48" t="str">
        <f t="shared" si="3"/>
        <v>M|Category D</v>
      </c>
      <c r="O48" t="str">
        <f t="shared" si="4"/>
        <v>Yes</v>
      </c>
      <c r="P48" t="str">
        <f t="shared" si="5"/>
        <v>Yes</v>
      </c>
    </row>
    <row r="49" spans="1:16">
      <c r="A49" t="s">
        <v>81</v>
      </c>
      <c r="B49" t="s">
        <v>11</v>
      </c>
      <c r="C49">
        <v>31</v>
      </c>
      <c r="D49" t="s">
        <v>58</v>
      </c>
      <c r="E49" t="s">
        <v>20</v>
      </c>
      <c r="F49" t="s">
        <v>14</v>
      </c>
      <c r="G49" s="2">
        <v>815000</v>
      </c>
      <c r="H49" s="3">
        <v>1</v>
      </c>
      <c r="I49" s="3">
        <v>15</v>
      </c>
      <c r="J49" t="s">
        <v>15</v>
      </c>
      <c r="K49" s="8" t="str">
        <f t="shared" si="0"/>
        <v>M</v>
      </c>
      <c r="L49" t="str">
        <f t="shared" si="1"/>
        <v>25-34</v>
      </c>
      <c r="M49" t="str">
        <f t="shared" si="2"/>
        <v>Mid</v>
      </c>
      <c r="N49" t="str">
        <f t="shared" si="3"/>
        <v>M|Category D</v>
      </c>
      <c r="O49" t="str">
        <f t="shared" si="4"/>
        <v>Yes</v>
      </c>
      <c r="P49" t="str">
        <f t="shared" si="5"/>
        <v>Yes</v>
      </c>
    </row>
    <row r="50" spans="1:16">
      <c r="A50" t="s">
        <v>82</v>
      </c>
      <c r="B50" t="s">
        <v>61</v>
      </c>
      <c r="C50">
        <v>34</v>
      </c>
      <c r="D50" t="s">
        <v>12</v>
      </c>
      <c r="E50" t="s">
        <v>13</v>
      </c>
      <c r="F50" t="s">
        <v>14</v>
      </c>
      <c r="G50" s="2">
        <v>955000</v>
      </c>
      <c r="H50" s="3">
        <v>0</v>
      </c>
      <c r="I50" s="3">
        <v>45</v>
      </c>
      <c r="J50" t="s">
        <v>15</v>
      </c>
      <c r="K50" s="8" t="str">
        <f t="shared" si="0"/>
        <v>Other</v>
      </c>
      <c r="L50" t="str">
        <f t="shared" si="1"/>
        <v>25-34</v>
      </c>
      <c r="M50" t="str">
        <f>IF(OR(F50="Entry",F50="Junior"),"Entry",IF(F50="Mid-Level","Mid",IF(F50="Senior","Senior",IF(OR(F50="Manager",F50="Senior Manager"),"Leadership","Review"))))</f>
        <v>Mid</v>
      </c>
      <c r="N50" t="str">
        <f t="shared" si="3"/>
        <v>Other|Category C</v>
      </c>
      <c r="O50" t="str">
        <f t="shared" si="4"/>
        <v>Yes</v>
      </c>
      <c r="P50" t="str">
        <f t="shared" si="5"/>
        <v>Yes</v>
      </c>
    </row>
    <row r="51" spans="1:16">
      <c r="A51" t="s">
        <v>83</v>
      </c>
      <c r="B51" t="s">
        <v>11</v>
      </c>
      <c r="C51">
        <v>28</v>
      </c>
      <c r="D51" t="s">
        <v>58</v>
      </c>
      <c r="E51" t="s">
        <v>31</v>
      </c>
      <c r="F51" t="s">
        <v>21</v>
      </c>
      <c r="G51" s="2">
        <v>450000</v>
      </c>
      <c r="H51" s="3">
        <v>1</v>
      </c>
      <c r="I51" s="3">
        <v>34</v>
      </c>
      <c r="J51" t="s">
        <v>15</v>
      </c>
      <c r="K51" s="8" t="str">
        <f t="shared" si="0"/>
        <v>M</v>
      </c>
      <c r="L51" t="str">
        <f t="shared" si="1"/>
        <v>25-34</v>
      </c>
      <c r="M51" t="str">
        <f t="shared" si="2"/>
        <v>Entry</v>
      </c>
      <c r="N51" t="str">
        <f t="shared" si="3"/>
        <v>M|Category D</v>
      </c>
      <c r="O51" t="str">
        <f t="shared" si="4"/>
        <v>No</v>
      </c>
      <c r="P51" t="str">
        <f t="shared" si="5"/>
        <v>Yes</v>
      </c>
    </row>
    <row r="52" spans="1:16">
      <c r="A52" t="s">
        <v>84</v>
      </c>
      <c r="B52" t="s">
        <v>23</v>
      </c>
      <c r="C52">
        <v>22</v>
      </c>
      <c r="D52" t="s">
        <v>12</v>
      </c>
      <c r="E52" t="s">
        <v>18</v>
      </c>
      <c r="F52" t="s">
        <v>24</v>
      </c>
      <c r="G52" s="2">
        <v>425000</v>
      </c>
      <c r="H52" s="3">
        <v>0</v>
      </c>
      <c r="I52" s="3">
        <v>10</v>
      </c>
      <c r="J52" t="s">
        <v>15</v>
      </c>
      <c r="K52" s="8" t="str">
        <f t="shared" si="0"/>
        <v>F</v>
      </c>
      <c r="L52" t="str">
        <f t="shared" si="1"/>
        <v>&lt;25</v>
      </c>
      <c r="M52" t="str">
        <f t="shared" si="2"/>
        <v>Entry</v>
      </c>
      <c r="N52" t="str">
        <f t="shared" si="3"/>
        <v>F|Category C</v>
      </c>
      <c r="O52" t="str">
        <f t="shared" si="4"/>
        <v>No</v>
      </c>
      <c r="P52" t="str">
        <f t="shared" si="5"/>
        <v>No</v>
      </c>
    </row>
    <row r="53" spans="1:16">
      <c r="A53" t="s">
        <v>85</v>
      </c>
      <c r="B53" t="s">
        <v>23</v>
      </c>
      <c r="C53">
        <v>30</v>
      </c>
      <c r="D53" t="s">
        <v>58</v>
      </c>
      <c r="E53" t="s">
        <v>18</v>
      </c>
      <c r="F53" t="s">
        <v>14</v>
      </c>
      <c r="G53" s="2">
        <v>675000</v>
      </c>
      <c r="H53" s="3">
        <v>1</v>
      </c>
      <c r="I53" s="3">
        <v>15</v>
      </c>
      <c r="J53" t="s">
        <v>29</v>
      </c>
      <c r="K53" s="8" t="str">
        <f t="shared" si="0"/>
        <v>F</v>
      </c>
      <c r="L53" t="str">
        <f t="shared" si="1"/>
        <v>25-34</v>
      </c>
      <c r="M53" t="str">
        <f t="shared" si="2"/>
        <v>Mid</v>
      </c>
      <c r="N53" t="str">
        <f t="shared" si="3"/>
        <v>F|Category D</v>
      </c>
      <c r="O53" t="str">
        <f t="shared" si="4"/>
        <v>Yes</v>
      </c>
      <c r="P53" t="str">
        <f t="shared" si="5"/>
        <v>Yes</v>
      </c>
    </row>
    <row r="54" spans="1:16">
      <c r="A54" t="s">
        <v>86</v>
      </c>
      <c r="B54" t="s">
        <v>11</v>
      </c>
      <c r="C54">
        <v>31</v>
      </c>
      <c r="D54" t="s">
        <v>17</v>
      </c>
      <c r="E54" t="s">
        <v>51</v>
      </c>
      <c r="F54" t="s">
        <v>21</v>
      </c>
      <c r="G54" s="2">
        <v>645000</v>
      </c>
      <c r="H54" s="3">
        <v>0</v>
      </c>
      <c r="I54" s="3">
        <v>17</v>
      </c>
      <c r="J54" t="s">
        <v>29</v>
      </c>
      <c r="K54" s="8" t="str">
        <f t="shared" si="0"/>
        <v>M</v>
      </c>
      <c r="L54" t="str">
        <f t="shared" si="1"/>
        <v>25-34</v>
      </c>
      <c r="M54" t="str">
        <f t="shared" si="2"/>
        <v>Entry</v>
      </c>
      <c r="N54" t="str">
        <f t="shared" si="3"/>
        <v>M|Category A</v>
      </c>
      <c r="O54" t="str">
        <f t="shared" si="4"/>
        <v>No</v>
      </c>
      <c r="P54" t="str">
        <f t="shared" si="5"/>
        <v>Yes</v>
      </c>
    </row>
    <row r="55" spans="1:16">
      <c r="A55" t="s">
        <v>87</v>
      </c>
      <c r="B55" t="s">
        <v>23</v>
      </c>
      <c r="C55">
        <v>39</v>
      </c>
      <c r="D55" t="s">
        <v>28</v>
      </c>
      <c r="E55" t="s">
        <v>51</v>
      </c>
      <c r="F55" t="s">
        <v>34</v>
      </c>
      <c r="G55" s="2">
        <v>1235000</v>
      </c>
      <c r="H55" s="3">
        <v>3</v>
      </c>
      <c r="I55" s="3">
        <v>48</v>
      </c>
      <c r="J55" t="s">
        <v>15</v>
      </c>
      <c r="K55" s="8" t="str">
        <f t="shared" si="0"/>
        <v>F</v>
      </c>
      <c r="L55" t="str">
        <f t="shared" si="1"/>
        <v>35-44</v>
      </c>
      <c r="M55" t="str">
        <f t="shared" si="2"/>
        <v>Senior</v>
      </c>
      <c r="N55" t="str">
        <f t="shared" si="3"/>
        <v>F|Category B</v>
      </c>
      <c r="O55" t="str">
        <f t="shared" si="4"/>
        <v>Yes</v>
      </c>
      <c r="P55" t="str">
        <f t="shared" si="5"/>
        <v>Yes</v>
      </c>
    </row>
    <row r="56" spans="1:16">
      <c r="A56" t="s">
        <v>88</v>
      </c>
      <c r="B56" t="s">
        <v>11</v>
      </c>
      <c r="C56">
        <v>50</v>
      </c>
      <c r="D56" t="s">
        <v>12</v>
      </c>
      <c r="E56" t="s">
        <v>51</v>
      </c>
      <c r="F56" t="s">
        <v>43</v>
      </c>
      <c r="G56" s="2">
        <v>1770000</v>
      </c>
      <c r="H56" s="3">
        <v>0</v>
      </c>
      <c r="I56" s="3">
        <v>40</v>
      </c>
      <c r="J56" t="s">
        <v>15</v>
      </c>
      <c r="K56" s="8" t="str">
        <f t="shared" si="0"/>
        <v>M</v>
      </c>
      <c r="L56" t="str">
        <f>IF(C56="","Missing",IF(C56&lt;25,"&lt;25",IF(C56&lt;35,"25-34",IF(C56&lt;45,"35-44",IF(C56&lt;55,"45-54","55+")))))</f>
        <v>45-54</v>
      </c>
      <c r="M56" t="str">
        <f t="shared" si="2"/>
        <v>Leadership</v>
      </c>
      <c r="N56" t="str">
        <f t="shared" si="3"/>
        <v>M|Category C</v>
      </c>
      <c r="O56" t="str">
        <f t="shared" si="4"/>
        <v>Yes</v>
      </c>
      <c r="P56" t="str">
        <f t="shared" si="5"/>
        <v>Yes</v>
      </c>
    </row>
    <row r="57" spans="1:16">
      <c r="A57" t="s">
        <v>89</v>
      </c>
      <c r="B57" t="s">
        <v>11</v>
      </c>
      <c r="C57">
        <v>31</v>
      </c>
      <c r="D57" t="s">
        <v>58</v>
      </c>
      <c r="E57" t="s">
        <v>13</v>
      </c>
      <c r="F57" t="s">
        <v>14</v>
      </c>
      <c r="G57" s="2">
        <v>830000</v>
      </c>
      <c r="H57" s="3">
        <v>0</v>
      </c>
      <c r="I57" s="3">
        <v>33</v>
      </c>
      <c r="J57" t="s">
        <v>15</v>
      </c>
      <c r="K57" s="8" t="str">
        <f t="shared" si="0"/>
        <v>M</v>
      </c>
      <c r="L57" t="str">
        <f t="shared" si="1"/>
        <v>25-34</v>
      </c>
      <c r="M57" t="str">
        <f t="shared" si="2"/>
        <v>Mid</v>
      </c>
      <c r="N57" t="str">
        <f t="shared" si="3"/>
        <v>M|Category D</v>
      </c>
      <c r="O57" t="str">
        <f t="shared" si="4"/>
        <v>Yes</v>
      </c>
      <c r="P57" t="str">
        <f t="shared" si="5"/>
        <v>Yes</v>
      </c>
    </row>
    <row r="58" spans="1:16">
      <c r="A58" t="s">
        <v>90</v>
      </c>
      <c r="B58" t="s">
        <v>11</v>
      </c>
      <c r="C58">
        <v>22</v>
      </c>
      <c r="D58" t="s">
        <v>28</v>
      </c>
      <c r="E58" t="s">
        <v>51</v>
      </c>
      <c r="F58" t="s">
        <v>24</v>
      </c>
      <c r="G58" s="2">
        <v>400000</v>
      </c>
      <c r="H58" s="3">
        <v>1</v>
      </c>
      <c r="I58" s="3">
        <v>30</v>
      </c>
      <c r="J58" t="s">
        <v>15</v>
      </c>
      <c r="K58" s="8" t="str">
        <f t="shared" si="0"/>
        <v>M</v>
      </c>
      <c r="L58" t="str">
        <f t="shared" si="1"/>
        <v>&lt;25</v>
      </c>
      <c r="M58" t="str">
        <f t="shared" si="2"/>
        <v>Entry</v>
      </c>
      <c r="N58" t="str">
        <f t="shared" si="3"/>
        <v>M|Category B</v>
      </c>
      <c r="O58" t="str">
        <f t="shared" si="4"/>
        <v>No</v>
      </c>
      <c r="P58" t="str">
        <f t="shared" si="5"/>
        <v>Yes</v>
      </c>
    </row>
    <row r="59" spans="1:16">
      <c r="A59" t="s">
        <v>91</v>
      </c>
      <c r="B59" t="s">
        <v>23</v>
      </c>
      <c r="C59">
        <v>30</v>
      </c>
      <c r="D59" t="s">
        <v>28</v>
      </c>
      <c r="E59" t="s">
        <v>42</v>
      </c>
      <c r="F59" t="s">
        <v>14</v>
      </c>
      <c r="G59" s="2">
        <v>820000</v>
      </c>
      <c r="H59" s="3">
        <v>0</v>
      </c>
      <c r="I59" s="3">
        <v>16</v>
      </c>
      <c r="J59" t="s">
        <v>29</v>
      </c>
      <c r="K59" s="8" t="str">
        <f t="shared" si="0"/>
        <v>F</v>
      </c>
      <c r="L59" t="str">
        <f t="shared" si="1"/>
        <v>25-34</v>
      </c>
      <c r="M59" t="str">
        <f t="shared" si="2"/>
        <v>Mid</v>
      </c>
      <c r="N59" t="str">
        <f t="shared" si="3"/>
        <v>F|Category B</v>
      </c>
      <c r="O59" t="str">
        <f t="shared" si="4"/>
        <v>Yes</v>
      </c>
      <c r="P59" t="str">
        <f t="shared" si="5"/>
        <v>Yes</v>
      </c>
    </row>
    <row r="60" spans="1:16">
      <c r="A60" t="s">
        <v>92</v>
      </c>
      <c r="B60" t="s">
        <v>23</v>
      </c>
      <c r="C60">
        <v>44</v>
      </c>
      <c r="D60" t="s">
        <v>58</v>
      </c>
      <c r="E60" t="s">
        <v>47</v>
      </c>
      <c r="F60" t="s">
        <v>43</v>
      </c>
      <c r="G60" s="2">
        <v>1710000</v>
      </c>
      <c r="H60" s="3">
        <v>2</v>
      </c>
      <c r="I60" s="3">
        <v>51</v>
      </c>
      <c r="J60" t="s">
        <v>15</v>
      </c>
      <c r="K60" s="8" t="str">
        <f t="shared" si="0"/>
        <v>F</v>
      </c>
      <c r="L60" t="str">
        <f t="shared" si="1"/>
        <v>35-44</v>
      </c>
      <c r="M60" t="str">
        <f t="shared" si="2"/>
        <v>Leadership</v>
      </c>
      <c r="N60" t="str">
        <f t="shared" si="3"/>
        <v>F|Category D</v>
      </c>
      <c r="O60" t="str">
        <f t="shared" si="4"/>
        <v>Yes</v>
      </c>
      <c r="P60" t="str">
        <f t="shared" si="5"/>
        <v>Yes</v>
      </c>
    </row>
    <row r="61" spans="1:16">
      <c r="A61" t="s">
        <v>93</v>
      </c>
      <c r="B61" t="s">
        <v>23</v>
      </c>
      <c r="C61">
        <v>31</v>
      </c>
      <c r="D61" t="s">
        <v>28</v>
      </c>
      <c r="E61" t="s">
        <v>31</v>
      </c>
      <c r="F61" t="s">
        <v>14</v>
      </c>
      <c r="G61" s="2">
        <v>830000</v>
      </c>
      <c r="H61" s="3">
        <v>0</v>
      </c>
      <c r="I61" s="3">
        <v>39</v>
      </c>
      <c r="J61" t="s">
        <v>15</v>
      </c>
      <c r="K61" s="8" t="str">
        <f t="shared" si="0"/>
        <v>F</v>
      </c>
      <c r="L61" t="str">
        <f t="shared" si="1"/>
        <v>25-34</v>
      </c>
      <c r="M61" t="str">
        <f t="shared" si="2"/>
        <v>Mid</v>
      </c>
      <c r="N61" t="str">
        <f t="shared" si="3"/>
        <v>F|Category B</v>
      </c>
      <c r="O61" t="str">
        <f t="shared" si="4"/>
        <v>Yes</v>
      </c>
      <c r="P61" t="str">
        <f t="shared" si="5"/>
        <v>Yes</v>
      </c>
    </row>
    <row r="62" spans="1:16">
      <c r="A62" t="s">
        <v>94</v>
      </c>
      <c r="B62" t="s">
        <v>11</v>
      </c>
      <c r="C62">
        <v>45</v>
      </c>
      <c r="D62" t="s">
        <v>12</v>
      </c>
      <c r="E62" t="s">
        <v>42</v>
      </c>
      <c r="F62" t="s">
        <v>34</v>
      </c>
      <c r="G62" s="2">
        <v>1035000</v>
      </c>
      <c r="H62" s="3">
        <v>3</v>
      </c>
      <c r="I62" s="3">
        <v>54</v>
      </c>
      <c r="J62" t="s">
        <v>15</v>
      </c>
      <c r="K62" s="8" t="str">
        <f>IF(B62="Male","M",IF(B62="Female","F",IF(B62="Prefer Not to Say","Undisclosed","Other")))</f>
        <v>M</v>
      </c>
      <c r="L62" t="str">
        <f t="shared" si="1"/>
        <v>45-54</v>
      </c>
      <c r="M62" t="str">
        <f t="shared" si="2"/>
        <v>Senior</v>
      </c>
      <c r="N62" t="str">
        <f t="shared" si="3"/>
        <v>M|Category C</v>
      </c>
      <c r="O62" t="str">
        <f t="shared" si="4"/>
        <v>Yes</v>
      </c>
      <c r="P62" t="str">
        <f t="shared" si="5"/>
        <v>Yes</v>
      </c>
    </row>
    <row r="63" spans="1:16">
      <c r="A63" t="s">
        <v>95</v>
      </c>
      <c r="B63" t="s">
        <v>11</v>
      </c>
      <c r="C63">
        <v>24</v>
      </c>
      <c r="D63" t="s">
        <v>17</v>
      </c>
      <c r="E63" t="s">
        <v>20</v>
      </c>
      <c r="F63" t="s">
        <v>24</v>
      </c>
      <c r="G63" s="2">
        <v>335000</v>
      </c>
      <c r="H63" s="3">
        <v>1</v>
      </c>
      <c r="I63" s="3">
        <v>13</v>
      </c>
      <c r="J63" t="s">
        <v>15</v>
      </c>
      <c r="K63" s="8" t="str">
        <f t="shared" si="0"/>
        <v>M</v>
      </c>
      <c r="L63" t="str">
        <f t="shared" si="1"/>
        <v>&lt;25</v>
      </c>
      <c r="M63" t="str">
        <f t="shared" si="2"/>
        <v>Entry</v>
      </c>
      <c r="N63" t="str">
        <f t="shared" si="3"/>
        <v>M|Category A</v>
      </c>
      <c r="O63" t="str">
        <f t="shared" si="4"/>
        <v>No</v>
      </c>
      <c r="P63" t="str">
        <f t="shared" si="5"/>
        <v>Yes</v>
      </c>
    </row>
    <row r="64" spans="1:16">
      <c r="A64" t="s">
        <v>96</v>
      </c>
      <c r="B64" t="s">
        <v>23</v>
      </c>
      <c r="C64">
        <v>29</v>
      </c>
      <c r="D64" t="s">
        <v>28</v>
      </c>
      <c r="E64" t="s">
        <v>42</v>
      </c>
      <c r="F64" t="s">
        <v>21</v>
      </c>
      <c r="G64" s="2">
        <v>545000</v>
      </c>
      <c r="H64" s="3">
        <v>1</v>
      </c>
      <c r="I64" s="3">
        <v>36</v>
      </c>
      <c r="J64" t="s">
        <v>15</v>
      </c>
      <c r="K64" s="8" t="str">
        <f t="shared" si="0"/>
        <v>F</v>
      </c>
      <c r="L64" t="str">
        <f t="shared" si="1"/>
        <v>25-34</v>
      </c>
      <c r="M64" t="str">
        <f t="shared" si="2"/>
        <v>Entry</v>
      </c>
      <c r="N64" t="str">
        <f t="shared" si="3"/>
        <v>F|Category B</v>
      </c>
      <c r="O64" t="str">
        <f t="shared" si="4"/>
        <v>No</v>
      </c>
      <c r="P64" t="str">
        <f t="shared" si="5"/>
        <v>Yes</v>
      </c>
    </row>
    <row r="65" spans="1:16">
      <c r="A65" t="s">
        <v>97</v>
      </c>
      <c r="B65" t="s">
        <v>11</v>
      </c>
      <c r="C65">
        <v>51</v>
      </c>
      <c r="D65" t="s">
        <v>17</v>
      </c>
      <c r="E65" t="s">
        <v>47</v>
      </c>
      <c r="F65" t="s">
        <v>26</v>
      </c>
      <c r="G65" s="2">
        <v>2035000</v>
      </c>
      <c r="H65" s="3">
        <v>1</v>
      </c>
      <c r="I65" s="3">
        <v>79</v>
      </c>
      <c r="J65" t="s">
        <v>29</v>
      </c>
      <c r="K65" s="8" t="str">
        <f t="shared" si="0"/>
        <v>M</v>
      </c>
      <c r="L65" t="str">
        <f t="shared" si="1"/>
        <v>45-54</v>
      </c>
      <c r="M65" t="str">
        <f t="shared" si="2"/>
        <v>Leadership</v>
      </c>
      <c r="N65" t="str">
        <f t="shared" si="3"/>
        <v>M|Category A</v>
      </c>
      <c r="O65" t="str">
        <f t="shared" si="4"/>
        <v>Yes</v>
      </c>
      <c r="P65" t="str">
        <f t="shared" si="5"/>
        <v>Yes</v>
      </c>
    </row>
    <row r="66" spans="1:16">
      <c r="A66" t="s">
        <v>98</v>
      </c>
      <c r="B66" t="s">
        <v>23</v>
      </c>
      <c r="C66">
        <v>23</v>
      </c>
      <c r="D66" t="s">
        <v>17</v>
      </c>
      <c r="E66" t="s">
        <v>36</v>
      </c>
      <c r="F66" t="s">
        <v>21</v>
      </c>
      <c r="G66" s="2">
        <v>480000</v>
      </c>
      <c r="H66" s="3">
        <v>0</v>
      </c>
      <c r="I66" s="3">
        <v>25</v>
      </c>
      <c r="J66" t="s">
        <v>15</v>
      </c>
      <c r="K66" s="8" t="str">
        <f t="shared" si="0"/>
        <v>F</v>
      </c>
      <c r="L66" t="str">
        <f t="shared" si="1"/>
        <v>&lt;25</v>
      </c>
      <c r="M66" t="str">
        <f t="shared" si="2"/>
        <v>Entry</v>
      </c>
      <c r="N66" t="str">
        <f t="shared" si="3"/>
        <v>F|Category A</v>
      </c>
      <c r="O66" t="str">
        <f t="shared" si="4"/>
        <v>No</v>
      </c>
      <c r="P66" t="str">
        <f t="shared" si="5"/>
        <v>Yes</v>
      </c>
    </row>
    <row r="67" spans="1:16">
      <c r="A67" t="s">
        <v>99</v>
      </c>
      <c r="B67" t="s">
        <v>11</v>
      </c>
      <c r="C67">
        <v>33</v>
      </c>
      <c r="D67" t="s">
        <v>17</v>
      </c>
      <c r="E67" t="s">
        <v>36</v>
      </c>
      <c r="F67" t="s">
        <v>34</v>
      </c>
      <c r="G67" s="2">
        <v>1020000</v>
      </c>
      <c r="H67" s="3">
        <v>2</v>
      </c>
      <c r="I67" s="3">
        <v>30</v>
      </c>
      <c r="J67" t="s">
        <v>29</v>
      </c>
      <c r="K67" s="8" t="str">
        <f t="shared" ref="K67:K82" si="6">IF(B67="Male","M",IF(B67="Female","F",IF(B67="Prefer Not to Say","Undisclosed","Other")))</f>
        <v>M</v>
      </c>
      <c r="L67" t="str">
        <f t="shared" ref="L67:L74" si="7">IF(C67="","Missing",IF(C67&lt;25,"&lt;25",IF(C67&lt;35,"25-34",IF(C67&lt;45,"35-44",IF(C67&lt;55,"45-54","55+")))))</f>
        <v>25-34</v>
      </c>
      <c r="M67" t="str">
        <f t="shared" ref="M67:M74" si="8">IF(OR(F67="Entry",F67="Junior"),"Entry",IF(F67="Mid-Level","Mid",IF(F67="Senior","Senior",IF(OR(F67="Manager",F67="Senior Manager"),"Leadership","Review"))))</f>
        <v>Senior</v>
      </c>
      <c r="N67" t="str">
        <f t="shared" ref="N67:N130" si="9">K67&amp;"|"&amp;D67</f>
        <v>M|Category A</v>
      </c>
      <c r="O67" t="str">
        <f t="shared" ref="O67:O130" si="10">IF(OR(M67="Mid",M67="Senior",M67="Leadership"),"Yes","No")</f>
        <v>Yes</v>
      </c>
      <c r="P67" t="str">
        <f t="shared" ref="P67:P130" si="11">IF(I67&gt;10,"Yes","No")</f>
        <v>Yes</v>
      </c>
    </row>
    <row r="68" spans="1:16">
      <c r="A68" t="s">
        <v>100</v>
      </c>
      <c r="B68" t="s">
        <v>23</v>
      </c>
      <c r="C68">
        <v>33</v>
      </c>
      <c r="D68" t="s">
        <v>12</v>
      </c>
      <c r="E68" t="s">
        <v>13</v>
      </c>
      <c r="F68" t="s">
        <v>14</v>
      </c>
      <c r="G68" s="2">
        <v>810000</v>
      </c>
      <c r="H68" s="3">
        <v>2</v>
      </c>
      <c r="I68" s="3">
        <v>27</v>
      </c>
      <c r="J68" t="s">
        <v>15</v>
      </c>
      <c r="K68" s="8" t="str">
        <f t="shared" si="6"/>
        <v>F</v>
      </c>
      <c r="L68" t="str">
        <f t="shared" si="7"/>
        <v>25-34</v>
      </c>
      <c r="M68" t="str">
        <f t="shared" si="8"/>
        <v>Mid</v>
      </c>
      <c r="N68" t="str">
        <f t="shared" si="9"/>
        <v>F|Category C</v>
      </c>
      <c r="O68" t="str">
        <f t="shared" si="10"/>
        <v>Yes</v>
      </c>
      <c r="P68" t="str">
        <f t="shared" si="11"/>
        <v>Yes</v>
      </c>
    </row>
    <row r="69" spans="1:16">
      <c r="A69" t="s">
        <v>101</v>
      </c>
      <c r="B69" t="s">
        <v>11</v>
      </c>
      <c r="C69">
        <v>35</v>
      </c>
      <c r="D69" t="s">
        <v>28</v>
      </c>
      <c r="E69" t="s">
        <v>20</v>
      </c>
      <c r="F69" t="s">
        <v>34</v>
      </c>
      <c r="G69" s="2">
        <v>1025000</v>
      </c>
      <c r="H69" s="3">
        <v>2</v>
      </c>
      <c r="I69" s="3">
        <v>56</v>
      </c>
      <c r="J69" t="s">
        <v>15</v>
      </c>
      <c r="K69" s="8" t="str">
        <f t="shared" si="6"/>
        <v>M</v>
      </c>
      <c r="L69" t="str">
        <f t="shared" si="7"/>
        <v>35-44</v>
      </c>
      <c r="M69" t="str">
        <f t="shared" si="8"/>
        <v>Senior</v>
      </c>
      <c r="N69" t="str">
        <f t="shared" si="9"/>
        <v>M|Category B</v>
      </c>
      <c r="O69" t="str">
        <f t="shared" si="10"/>
        <v>Yes</v>
      </c>
      <c r="P69" t="str">
        <f t="shared" si="11"/>
        <v>Yes</v>
      </c>
    </row>
    <row r="70" spans="1:16">
      <c r="A70" t="s">
        <v>102</v>
      </c>
      <c r="B70" t="s">
        <v>11</v>
      </c>
      <c r="C70">
        <v>26</v>
      </c>
      <c r="D70" t="s">
        <v>58</v>
      </c>
      <c r="E70" t="s">
        <v>51</v>
      </c>
      <c r="F70" t="s">
        <v>24</v>
      </c>
      <c r="G70" s="2">
        <v>390000</v>
      </c>
      <c r="H70" s="3">
        <v>0</v>
      </c>
      <c r="I70" s="3">
        <v>21</v>
      </c>
      <c r="J70" t="s">
        <v>15</v>
      </c>
      <c r="K70" s="8" t="str">
        <f t="shared" si="6"/>
        <v>M</v>
      </c>
      <c r="L70" t="str">
        <f t="shared" si="7"/>
        <v>25-34</v>
      </c>
      <c r="M70" t="str">
        <f t="shared" si="8"/>
        <v>Entry</v>
      </c>
      <c r="N70" t="str">
        <f t="shared" si="9"/>
        <v>M|Category D</v>
      </c>
      <c r="O70" t="str">
        <f t="shared" si="10"/>
        <v>No</v>
      </c>
      <c r="P70" t="str">
        <f t="shared" si="11"/>
        <v>Yes</v>
      </c>
    </row>
    <row r="71" spans="1:16">
      <c r="A71" t="s">
        <v>103</v>
      </c>
      <c r="B71" t="s">
        <v>23</v>
      </c>
      <c r="C71">
        <v>37</v>
      </c>
      <c r="D71" t="s">
        <v>12</v>
      </c>
      <c r="E71" t="s">
        <v>51</v>
      </c>
      <c r="F71" t="s">
        <v>34</v>
      </c>
      <c r="G71" s="2">
        <v>1085000</v>
      </c>
      <c r="H71" s="3">
        <v>2</v>
      </c>
      <c r="I71" s="3">
        <v>37</v>
      </c>
      <c r="J71" t="s">
        <v>15</v>
      </c>
      <c r="K71" s="8" t="str">
        <f t="shared" si="6"/>
        <v>F</v>
      </c>
      <c r="L71" t="str">
        <f t="shared" si="7"/>
        <v>35-44</v>
      </c>
      <c r="M71" t="str">
        <f t="shared" si="8"/>
        <v>Senior</v>
      </c>
      <c r="N71" t="str">
        <f t="shared" si="9"/>
        <v>F|Category C</v>
      </c>
      <c r="O71" t="str">
        <f t="shared" si="10"/>
        <v>Yes</v>
      </c>
      <c r="P71" t="str">
        <f t="shared" si="11"/>
        <v>Yes</v>
      </c>
    </row>
    <row r="72" spans="1:16">
      <c r="A72" t="s">
        <v>104</v>
      </c>
      <c r="B72" t="s">
        <v>11</v>
      </c>
      <c r="C72">
        <v>38</v>
      </c>
      <c r="D72" t="s">
        <v>58</v>
      </c>
      <c r="E72" t="s">
        <v>47</v>
      </c>
      <c r="F72" t="s">
        <v>14</v>
      </c>
      <c r="G72" s="2">
        <v>910000</v>
      </c>
      <c r="H72" s="3">
        <v>0</v>
      </c>
      <c r="I72" s="3">
        <v>30</v>
      </c>
      <c r="J72" t="s">
        <v>15</v>
      </c>
      <c r="K72" s="8" t="str">
        <f t="shared" si="6"/>
        <v>M</v>
      </c>
      <c r="L72" t="str">
        <f t="shared" si="7"/>
        <v>35-44</v>
      </c>
      <c r="M72" t="str">
        <f t="shared" si="8"/>
        <v>Mid</v>
      </c>
      <c r="N72" t="str">
        <f t="shared" si="9"/>
        <v>M|Category D</v>
      </c>
      <c r="O72" t="str">
        <f t="shared" si="10"/>
        <v>Yes</v>
      </c>
      <c r="P72" t="str">
        <f t="shared" si="11"/>
        <v>Yes</v>
      </c>
    </row>
    <row r="73" spans="1:16">
      <c r="A73" t="s">
        <v>105</v>
      </c>
      <c r="B73" t="s">
        <v>11</v>
      </c>
      <c r="C73">
        <v>40</v>
      </c>
      <c r="D73" t="s">
        <v>17</v>
      </c>
      <c r="E73" t="s">
        <v>36</v>
      </c>
      <c r="F73" t="s">
        <v>34</v>
      </c>
      <c r="G73" s="2">
        <v>1295000</v>
      </c>
      <c r="H73" s="3">
        <v>0</v>
      </c>
      <c r="I73" s="3">
        <v>51</v>
      </c>
      <c r="J73" t="s">
        <v>29</v>
      </c>
      <c r="K73" s="8" t="str">
        <f t="shared" si="6"/>
        <v>M</v>
      </c>
      <c r="L73" t="str">
        <f t="shared" si="7"/>
        <v>35-44</v>
      </c>
      <c r="M73" t="str">
        <f t="shared" si="8"/>
        <v>Senior</v>
      </c>
      <c r="N73" t="str">
        <f t="shared" si="9"/>
        <v>M|Category A</v>
      </c>
      <c r="O73" t="str">
        <f t="shared" si="10"/>
        <v>Yes</v>
      </c>
      <c r="P73" t="str">
        <f t="shared" si="11"/>
        <v>Yes</v>
      </c>
    </row>
    <row r="74" spans="1:16">
      <c r="A74" t="s">
        <v>106</v>
      </c>
      <c r="B74" t="s">
        <v>11</v>
      </c>
      <c r="C74">
        <v>27</v>
      </c>
      <c r="D74" t="s">
        <v>28</v>
      </c>
      <c r="E74" t="s">
        <v>47</v>
      </c>
      <c r="F74" t="s">
        <v>21</v>
      </c>
      <c r="G74" s="2">
        <v>690000</v>
      </c>
      <c r="H74" s="3">
        <v>0</v>
      </c>
      <c r="I74" s="3">
        <v>40</v>
      </c>
      <c r="J74" t="s">
        <v>15</v>
      </c>
      <c r="K74" s="8" t="str">
        <f t="shared" si="6"/>
        <v>M</v>
      </c>
      <c r="L74" t="str">
        <f t="shared" si="7"/>
        <v>25-34</v>
      </c>
      <c r="M74" t="str">
        <f t="shared" si="8"/>
        <v>Entry</v>
      </c>
      <c r="N74" t="str">
        <f t="shared" si="9"/>
        <v>M|Category B</v>
      </c>
      <c r="O74" t="str">
        <f t="shared" si="10"/>
        <v>No</v>
      </c>
      <c r="P74" t="str">
        <f t="shared" si="11"/>
        <v>Yes</v>
      </c>
    </row>
    <row r="75" spans="1:16">
      <c r="A75" t="s">
        <v>107</v>
      </c>
      <c r="B75" t="s">
        <v>11</v>
      </c>
      <c r="C75">
        <v>41</v>
      </c>
      <c r="D75" t="s">
        <v>12</v>
      </c>
      <c r="E75" t="s">
        <v>36</v>
      </c>
      <c r="F75" t="s">
        <v>34</v>
      </c>
      <c r="G75" s="2">
        <v>1415000</v>
      </c>
      <c r="H75" s="3">
        <v>1</v>
      </c>
      <c r="I75" s="3">
        <v>21</v>
      </c>
      <c r="J75" t="s">
        <v>15</v>
      </c>
      <c r="K75" s="8" t="str">
        <f t="shared" si="6"/>
        <v>M</v>
      </c>
      <c r="L75" t="str">
        <f>IF(C75="","Missing",IF(C75&lt;25,"&lt;25",IF(C75&lt;35,"25-34",IF(C75&lt;45,"35-44",IF(C75&lt;55,"45-54","55+")))))</f>
        <v>35-44</v>
      </c>
      <c r="M75" t="str">
        <f>IF(OR(F75="Entry",F75="Junior"),"Entry",IF(F75="Mid-Level","Mid",IF(F75="Senior","Senior",IF(OR(F75="Manager",F75="Senior Manager"),"Leadership","Review"))))</f>
        <v>Senior</v>
      </c>
      <c r="N75" t="str">
        <f t="shared" si="9"/>
        <v>M|Category C</v>
      </c>
      <c r="O75" t="str">
        <f t="shared" si="10"/>
        <v>Yes</v>
      </c>
      <c r="P75" t="str">
        <f t="shared" si="11"/>
        <v>Yes</v>
      </c>
    </row>
    <row r="76" spans="1:16">
      <c r="A76" t="s">
        <v>108</v>
      </c>
      <c r="B76" t="s">
        <v>23</v>
      </c>
      <c r="C76">
        <v>36</v>
      </c>
      <c r="D76" t="s">
        <v>28</v>
      </c>
      <c r="E76" t="s">
        <v>51</v>
      </c>
      <c r="F76" t="s">
        <v>34</v>
      </c>
      <c r="G76" s="2">
        <v>1395000</v>
      </c>
      <c r="H76" s="3">
        <v>1</v>
      </c>
      <c r="I76" s="3">
        <v>42</v>
      </c>
      <c r="J76" t="s">
        <v>15</v>
      </c>
      <c r="K76" s="8" t="str">
        <f t="shared" si="6"/>
        <v>F</v>
      </c>
      <c r="L76" t="str">
        <f t="shared" ref="L76:L99" si="12">IF(C76="","Missing",IF(C76&lt;25,"&lt;25",IF(C76&lt;35,"25-34",IF(C76&lt;45,"35-44",IF(C76&lt;55,"45-54","55+")))))</f>
        <v>35-44</v>
      </c>
      <c r="M76" t="str">
        <f t="shared" ref="M76:M99" si="13">IF(OR(F76="Entry",F76="Junior"),"Entry",IF(F76="Mid-Level","Mid",IF(F76="Senior","Senior",IF(OR(F76="Manager",F76="Senior Manager"),"Leadership","Review"))))</f>
        <v>Senior</v>
      </c>
      <c r="N76" t="str">
        <f t="shared" si="9"/>
        <v>F|Category B</v>
      </c>
      <c r="O76" t="str">
        <f t="shared" si="10"/>
        <v>Yes</v>
      </c>
      <c r="P76" t="str">
        <f t="shared" si="11"/>
        <v>Yes</v>
      </c>
    </row>
    <row r="77" spans="1:16">
      <c r="A77" t="s">
        <v>109</v>
      </c>
      <c r="B77" t="s">
        <v>23</v>
      </c>
      <c r="C77">
        <v>27</v>
      </c>
      <c r="D77" t="s">
        <v>58</v>
      </c>
      <c r="E77" t="s">
        <v>31</v>
      </c>
      <c r="F77" t="s">
        <v>21</v>
      </c>
      <c r="G77" s="2">
        <v>520000</v>
      </c>
      <c r="H77" s="3">
        <v>0</v>
      </c>
      <c r="I77" s="3">
        <v>16</v>
      </c>
      <c r="J77" t="s">
        <v>15</v>
      </c>
      <c r="K77" s="8" t="str">
        <f t="shared" si="6"/>
        <v>F</v>
      </c>
      <c r="L77" t="str">
        <f t="shared" si="12"/>
        <v>25-34</v>
      </c>
      <c r="M77" t="str">
        <f t="shared" si="13"/>
        <v>Entry</v>
      </c>
      <c r="N77" t="str">
        <f t="shared" si="9"/>
        <v>F|Category D</v>
      </c>
      <c r="O77" t="str">
        <f t="shared" si="10"/>
        <v>No</v>
      </c>
      <c r="P77" t="str">
        <f t="shared" si="11"/>
        <v>Yes</v>
      </c>
    </row>
    <row r="78" spans="1:16">
      <c r="A78" t="s">
        <v>110</v>
      </c>
      <c r="B78" t="s">
        <v>11</v>
      </c>
      <c r="C78">
        <v>30</v>
      </c>
      <c r="D78" t="s">
        <v>17</v>
      </c>
      <c r="E78" t="s">
        <v>47</v>
      </c>
      <c r="F78" t="s">
        <v>21</v>
      </c>
      <c r="G78" s="2">
        <v>545000</v>
      </c>
      <c r="H78" s="3">
        <v>1</v>
      </c>
      <c r="I78" s="3">
        <v>34</v>
      </c>
      <c r="J78" t="s">
        <v>15</v>
      </c>
      <c r="K78" s="8" t="str">
        <f t="shared" si="6"/>
        <v>M</v>
      </c>
      <c r="L78" t="str">
        <f t="shared" si="12"/>
        <v>25-34</v>
      </c>
      <c r="M78" t="str">
        <f t="shared" si="13"/>
        <v>Entry</v>
      </c>
      <c r="N78" t="str">
        <f t="shared" si="9"/>
        <v>M|Category A</v>
      </c>
      <c r="O78" t="str">
        <f t="shared" si="10"/>
        <v>No</v>
      </c>
      <c r="P78" t="str">
        <f t="shared" si="11"/>
        <v>Yes</v>
      </c>
    </row>
    <row r="79" spans="1:16">
      <c r="A79" t="s">
        <v>111</v>
      </c>
      <c r="B79" t="s">
        <v>11</v>
      </c>
      <c r="C79">
        <v>28</v>
      </c>
      <c r="D79" t="s">
        <v>66</v>
      </c>
      <c r="E79" t="s">
        <v>36</v>
      </c>
      <c r="F79" t="s">
        <v>21</v>
      </c>
      <c r="G79" s="2">
        <v>495000</v>
      </c>
      <c r="H79" s="3">
        <v>0</v>
      </c>
      <c r="I79" s="3">
        <v>32</v>
      </c>
      <c r="J79" t="s">
        <v>15</v>
      </c>
      <c r="K79" s="8" t="str">
        <f t="shared" si="6"/>
        <v>M</v>
      </c>
      <c r="L79" t="str">
        <f t="shared" si="12"/>
        <v>25-34</v>
      </c>
      <c r="M79" t="str">
        <f t="shared" si="13"/>
        <v>Entry</v>
      </c>
      <c r="N79" t="str">
        <f t="shared" si="9"/>
        <v>M|Prefer Not to Say</v>
      </c>
      <c r="O79" t="str">
        <f t="shared" si="10"/>
        <v>No</v>
      </c>
      <c r="P79" t="str">
        <f t="shared" si="11"/>
        <v>Yes</v>
      </c>
    </row>
    <row r="80" spans="1:16">
      <c r="A80" t="s">
        <v>112</v>
      </c>
      <c r="B80" t="s">
        <v>11</v>
      </c>
      <c r="C80">
        <v>33</v>
      </c>
      <c r="D80" t="s">
        <v>28</v>
      </c>
      <c r="E80" t="s">
        <v>31</v>
      </c>
      <c r="F80" t="s">
        <v>34</v>
      </c>
      <c r="G80" s="2">
        <v>1415000</v>
      </c>
      <c r="H80" s="3">
        <v>0</v>
      </c>
      <c r="I80" s="3">
        <v>20</v>
      </c>
      <c r="J80" t="s">
        <v>15</v>
      </c>
      <c r="K80" s="8" t="str">
        <f t="shared" si="6"/>
        <v>M</v>
      </c>
      <c r="L80" t="str">
        <f t="shared" si="12"/>
        <v>25-34</v>
      </c>
      <c r="M80" t="str">
        <f t="shared" si="13"/>
        <v>Senior</v>
      </c>
      <c r="N80" t="str">
        <f t="shared" si="9"/>
        <v>M|Category B</v>
      </c>
      <c r="O80" t="str">
        <f t="shared" si="10"/>
        <v>Yes</v>
      </c>
      <c r="P80" t="str">
        <f t="shared" si="11"/>
        <v>Yes</v>
      </c>
    </row>
    <row r="81" spans="1:16">
      <c r="A81" t="s">
        <v>113</v>
      </c>
      <c r="B81" t="s">
        <v>11</v>
      </c>
      <c r="C81">
        <v>48</v>
      </c>
      <c r="D81" t="s">
        <v>17</v>
      </c>
      <c r="E81" t="s">
        <v>42</v>
      </c>
      <c r="F81" t="s">
        <v>26</v>
      </c>
      <c r="G81" s="2">
        <v>2785000</v>
      </c>
      <c r="H81" s="3">
        <v>2</v>
      </c>
      <c r="I81" s="3">
        <v>37</v>
      </c>
      <c r="J81" t="s">
        <v>15</v>
      </c>
      <c r="K81" s="8" t="str">
        <f t="shared" si="6"/>
        <v>M</v>
      </c>
      <c r="L81" t="str">
        <f t="shared" si="12"/>
        <v>45-54</v>
      </c>
      <c r="M81" t="str">
        <f t="shared" si="13"/>
        <v>Leadership</v>
      </c>
      <c r="N81" t="str">
        <f t="shared" si="9"/>
        <v>M|Category A</v>
      </c>
      <c r="O81" t="str">
        <f t="shared" si="10"/>
        <v>Yes</v>
      </c>
      <c r="P81" t="str">
        <f t="shared" si="11"/>
        <v>Yes</v>
      </c>
    </row>
    <row r="82" spans="1:16">
      <c r="A82" t="s">
        <v>114</v>
      </c>
      <c r="B82" t="s">
        <v>11</v>
      </c>
      <c r="C82">
        <v>27</v>
      </c>
      <c r="D82" t="s">
        <v>12</v>
      </c>
      <c r="E82" t="s">
        <v>47</v>
      </c>
      <c r="F82" t="s">
        <v>24</v>
      </c>
      <c r="G82" s="2">
        <v>450000</v>
      </c>
      <c r="H82" s="3">
        <v>1</v>
      </c>
      <c r="I82" s="3">
        <v>10</v>
      </c>
      <c r="J82" t="s">
        <v>29</v>
      </c>
      <c r="K82" s="8" t="str">
        <f t="shared" si="6"/>
        <v>M</v>
      </c>
      <c r="L82" t="str">
        <f t="shared" si="12"/>
        <v>25-34</v>
      </c>
      <c r="M82" t="str">
        <f t="shared" si="13"/>
        <v>Entry</v>
      </c>
      <c r="N82" t="str">
        <f t="shared" si="9"/>
        <v>M|Category C</v>
      </c>
      <c r="O82" t="str">
        <f t="shared" si="10"/>
        <v>No</v>
      </c>
      <c r="P82" t="str">
        <f t="shared" si="11"/>
        <v>No</v>
      </c>
    </row>
    <row r="83" spans="1:16">
      <c r="A83" t="s">
        <v>115</v>
      </c>
      <c r="B83" t="s">
        <v>66</v>
      </c>
      <c r="C83">
        <v>37</v>
      </c>
      <c r="D83" t="s">
        <v>28</v>
      </c>
      <c r="E83" t="s">
        <v>42</v>
      </c>
      <c r="F83" t="s">
        <v>34</v>
      </c>
      <c r="G83" s="2">
        <v>1370000</v>
      </c>
      <c r="H83" s="3">
        <v>3</v>
      </c>
      <c r="I83" s="3">
        <v>39</v>
      </c>
      <c r="J83" t="s">
        <v>29</v>
      </c>
      <c r="K83" s="8" t="str">
        <f>IF(B83="Male","M",IF(B83="Female","F",IF(B83="Prefer Not to Say","Undisclosed","Other")))</f>
        <v>Undisclosed</v>
      </c>
      <c r="L83" t="str">
        <f t="shared" si="12"/>
        <v>35-44</v>
      </c>
      <c r="M83" t="str">
        <f t="shared" si="13"/>
        <v>Senior</v>
      </c>
      <c r="N83" t="str">
        <f t="shared" si="9"/>
        <v>Undisclosed|Category B</v>
      </c>
      <c r="O83" t="str">
        <f t="shared" si="10"/>
        <v>Yes</v>
      </c>
      <c r="P83" t="str">
        <f t="shared" si="11"/>
        <v>Yes</v>
      </c>
    </row>
    <row r="84" spans="1:16">
      <c r="A84" t="s">
        <v>116</v>
      </c>
      <c r="B84" t="s">
        <v>11</v>
      </c>
      <c r="C84">
        <v>38</v>
      </c>
      <c r="D84" t="s">
        <v>17</v>
      </c>
      <c r="E84" t="s">
        <v>47</v>
      </c>
      <c r="F84" t="s">
        <v>14</v>
      </c>
      <c r="G84" s="2">
        <v>650000</v>
      </c>
      <c r="H84" s="3">
        <v>2</v>
      </c>
      <c r="I84" s="3">
        <v>28</v>
      </c>
      <c r="J84" t="s">
        <v>15</v>
      </c>
      <c r="K84" s="8" t="str">
        <f t="shared" ref="K84:K101" si="14">IF(B84="Male","M",IF(B84="Female","F",IF(B84="Prefer Not to Say","Undisclosed","Other")))</f>
        <v>M</v>
      </c>
      <c r="L84" t="str">
        <f t="shared" si="12"/>
        <v>35-44</v>
      </c>
      <c r="M84" t="str">
        <f t="shared" si="13"/>
        <v>Mid</v>
      </c>
      <c r="N84" t="str">
        <f t="shared" si="9"/>
        <v>M|Category A</v>
      </c>
      <c r="O84" t="str">
        <f t="shared" si="10"/>
        <v>Yes</v>
      </c>
      <c r="P84" t="str">
        <f t="shared" si="11"/>
        <v>Yes</v>
      </c>
    </row>
    <row r="85" spans="1:16">
      <c r="A85" t="s">
        <v>117</v>
      </c>
      <c r="B85" t="s">
        <v>11</v>
      </c>
      <c r="C85">
        <v>21</v>
      </c>
      <c r="D85" t="s">
        <v>17</v>
      </c>
      <c r="E85" t="s">
        <v>36</v>
      </c>
      <c r="F85" t="s">
        <v>24</v>
      </c>
      <c r="G85" s="2">
        <v>340000</v>
      </c>
      <c r="H85" s="3">
        <v>0</v>
      </c>
      <c r="I85" s="3">
        <v>22</v>
      </c>
      <c r="J85" t="s">
        <v>15</v>
      </c>
      <c r="K85" s="8" t="str">
        <f t="shared" si="14"/>
        <v>M</v>
      </c>
      <c r="L85" t="str">
        <f t="shared" si="12"/>
        <v>&lt;25</v>
      </c>
      <c r="M85" t="str">
        <f t="shared" si="13"/>
        <v>Entry</v>
      </c>
      <c r="N85" t="str">
        <f t="shared" si="9"/>
        <v>M|Category A</v>
      </c>
      <c r="O85" t="str">
        <f t="shared" si="10"/>
        <v>No</v>
      </c>
      <c r="P85" t="str">
        <f t="shared" si="11"/>
        <v>Yes</v>
      </c>
    </row>
    <row r="86" spans="1:16">
      <c r="A86" t="s">
        <v>118</v>
      </c>
      <c r="B86" t="s">
        <v>23</v>
      </c>
      <c r="C86">
        <v>42</v>
      </c>
      <c r="D86" t="s">
        <v>12</v>
      </c>
      <c r="E86" t="s">
        <v>47</v>
      </c>
      <c r="F86" t="s">
        <v>34</v>
      </c>
      <c r="G86" s="2">
        <v>1375000</v>
      </c>
      <c r="H86" s="3">
        <v>0</v>
      </c>
      <c r="I86" s="3">
        <v>34</v>
      </c>
      <c r="J86" t="s">
        <v>29</v>
      </c>
      <c r="K86" s="8" t="str">
        <f t="shared" si="14"/>
        <v>F</v>
      </c>
      <c r="L86" t="str">
        <f t="shared" si="12"/>
        <v>35-44</v>
      </c>
      <c r="M86" t="str">
        <f t="shared" si="13"/>
        <v>Senior</v>
      </c>
      <c r="N86" t="str">
        <f t="shared" si="9"/>
        <v>F|Category C</v>
      </c>
      <c r="O86" t="str">
        <f t="shared" si="10"/>
        <v>Yes</v>
      </c>
      <c r="P86" t="str">
        <f t="shared" si="11"/>
        <v>Yes</v>
      </c>
    </row>
    <row r="87" spans="1:16">
      <c r="A87" t="s">
        <v>119</v>
      </c>
      <c r="B87" t="s">
        <v>11</v>
      </c>
      <c r="C87">
        <v>35</v>
      </c>
      <c r="D87" t="s">
        <v>17</v>
      </c>
      <c r="E87" t="s">
        <v>36</v>
      </c>
      <c r="F87" t="s">
        <v>14</v>
      </c>
      <c r="G87" s="2">
        <v>720000</v>
      </c>
      <c r="H87" s="3">
        <v>1</v>
      </c>
      <c r="I87" s="3">
        <v>32</v>
      </c>
      <c r="J87" t="s">
        <v>15</v>
      </c>
      <c r="K87" s="8" t="str">
        <f t="shared" si="14"/>
        <v>M</v>
      </c>
      <c r="L87" t="str">
        <f t="shared" si="12"/>
        <v>35-44</v>
      </c>
      <c r="M87" t="str">
        <f t="shared" si="13"/>
        <v>Mid</v>
      </c>
      <c r="N87" t="str">
        <f t="shared" si="9"/>
        <v>M|Category A</v>
      </c>
      <c r="O87" t="str">
        <f t="shared" si="10"/>
        <v>Yes</v>
      </c>
      <c r="P87" t="str">
        <f t="shared" si="11"/>
        <v>Yes</v>
      </c>
    </row>
    <row r="88" spans="1:16">
      <c r="A88" t="s">
        <v>120</v>
      </c>
      <c r="B88" t="s">
        <v>23</v>
      </c>
      <c r="C88">
        <v>36</v>
      </c>
      <c r="D88" t="s">
        <v>58</v>
      </c>
      <c r="E88" t="s">
        <v>51</v>
      </c>
      <c r="F88" t="s">
        <v>14</v>
      </c>
      <c r="G88" s="2">
        <v>750000</v>
      </c>
      <c r="H88" s="3">
        <v>0</v>
      </c>
      <c r="I88" s="3">
        <v>44</v>
      </c>
      <c r="J88" t="s">
        <v>15</v>
      </c>
      <c r="K88" s="8" t="str">
        <f t="shared" si="14"/>
        <v>F</v>
      </c>
      <c r="L88" t="str">
        <f t="shared" si="12"/>
        <v>35-44</v>
      </c>
      <c r="M88" t="str">
        <f t="shared" si="13"/>
        <v>Mid</v>
      </c>
      <c r="N88" t="str">
        <f t="shared" si="9"/>
        <v>F|Category D</v>
      </c>
      <c r="O88" t="str">
        <f t="shared" si="10"/>
        <v>Yes</v>
      </c>
      <c r="P88" t="str">
        <f t="shared" si="11"/>
        <v>Yes</v>
      </c>
    </row>
    <row r="89" spans="1:16">
      <c r="A89" t="s">
        <v>121</v>
      </c>
      <c r="B89" t="s">
        <v>11</v>
      </c>
      <c r="C89">
        <v>36</v>
      </c>
      <c r="D89" t="s">
        <v>17</v>
      </c>
      <c r="E89" t="s">
        <v>42</v>
      </c>
      <c r="F89" t="s">
        <v>14</v>
      </c>
      <c r="G89" s="2">
        <v>620000</v>
      </c>
      <c r="H89" s="3">
        <v>2</v>
      </c>
      <c r="I89" s="3">
        <v>35</v>
      </c>
      <c r="J89" t="s">
        <v>15</v>
      </c>
      <c r="K89" s="8" t="str">
        <f t="shared" si="14"/>
        <v>M</v>
      </c>
      <c r="L89" t="str">
        <f t="shared" si="12"/>
        <v>35-44</v>
      </c>
      <c r="M89" t="str">
        <f t="shared" si="13"/>
        <v>Mid</v>
      </c>
      <c r="N89" t="str">
        <f t="shared" si="9"/>
        <v>M|Category A</v>
      </c>
      <c r="O89" t="str">
        <f t="shared" si="10"/>
        <v>Yes</v>
      </c>
      <c r="P89" t="str">
        <f t="shared" si="11"/>
        <v>Yes</v>
      </c>
    </row>
    <row r="90" spans="1:16">
      <c r="A90" t="s">
        <v>122</v>
      </c>
      <c r="B90" t="s">
        <v>23</v>
      </c>
      <c r="C90">
        <v>48</v>
      </c>
      <c r="D90" t="s">
        <v>28</v>
      </c>
      <c r="E90" t="s">
        <v>36</v>
      </c>
      <c r="F90" t="s">
        <v>26</v>
      </c>
      <c r="G90" s="2">
        <v>2405000</v>
      </c>
      <c r="H90" s="3">
        <v>0</v>
      </c>
      <c r="I90" s="3">
        <v>78</v>
      </c>
      <c r="J90" t="s">
        <v>15</v>
      </c>
      <c r="K90" s="8" t="str">
        <f t="shared" si="14"/>
        <v>F</v>
      </c>
      <c r="L90" t="str">
        <f t="shared" si="12"/>
        <v>45-54</v>
      </c>
      <c r="M90" t="str">
        <f t="shared" si="13"/>
        <v>Leadership</v>
      </c>
      <c r="N90" t="str">
        <f t="shared" si="9"/>
        <v>F|Category B</v>
      </c>
      <c r="O90" t="str">
        <f t="shared" si="10"/>
        <v>Yes</v>
      </c>
      <c r="P90" t="str">
        <f t="shared" si="11"/>
        <v>Yes</v>
      </c>
    </row>
    <row r="91" spans="1:16">
      <c r="A91" t="s">
        <v>123</v>
      </c>
      <c r="B91" t="s">
        <v>11</v>
      </c>
      <c r="C91">
        <v>29</v>
      </c>
      <c r="D91" t="s">
        <v>12</v>
      </c>
      <c r="E91" t="s">
        <v>31</v>
      </c>
      <c r="F91" t="s">
        <v>21</v>
      </c>
      <c r="G91" s="2">
        <v>660000</v>
      </c>
      <c r="H91" s="3">
        <v>1</v>
      </c>
      <c r="I91" s="3">
        <v>25</v>
      </c>
      <c r="J91" t="s">
        <v>15</v>
      </c>
      <c r="K91" s="8" t="str">
        <f t="shared" si="14"/>
        <v>M</v>
      </c>
      <c r="L91" t="str">
        <f t="shared" si="12"/>
        <v>25-34</v>
      </c>
      <c r="M91" t="str">
        <f t="shared" si="13"/>
        <v>Entry</v>
      </c>
      <c r="N91" t="str">
        <f t="shared" si="9"/>
        <v>M|Category C</v>
      </c>
      <c r="O91" t="str">
        <f t="shared" si="10"/>
        <v>No</v>
      </c>
      <c r="P91" t="str">
        <f t="shared" si="11"/>
        <v>Yes</v>
      </c>
    </row>
    <row r="92" spans="1:16">
      <c r="A92" t="s">
        <v>124</v>
      </c>
      <c r="B92" t="s">
        <v>23</v>
      </c>
      <c r="C92">
        <v>30</v>
      </c>
      <c r="D92" t="s">
        <v>28</v>
      </c>
      <c r="E92" t="s">
        <v>20</v>
      </c>
      <c r="F92" t="s">
        <v>21</v>
      </c>
      <c r="G92" s="2">
        <v>550000</v>
      </c>
      <c r="H92" s="3">
        <v>0</v>
      </c>
      <c r="I92" s="3">
        <v>22</v>
      </c>
      <c r="J92" t="s">
        <v>15</v>
      </c>
      <c r="K92" s="8" t="str">
        <f t="shared" si="14"/>
        <v>F</v>
      </c>
      <c r="L92" t="str">
        <f t="shared" si="12"/>
        <v>25-34</v>
      </c>
      <c r="M92" t="str">
        <f t="shared" si="13"/>
        <v>Entry</v>
      </c>
      <c r="N92" t="str">
        <f t="shared" si="9"/>
        <v>F|Category B</v>
      </c>
      <c r="O92" t="str">
        <f t="shared" si="10"/>
        <v>No</v>
      </c>
      <c r="P92" t="str">
        <f t="shared" si="11"/>
        <v>Yes</v>
      </c>
    </row>
    <row r="93" spans="1:16">
      <c r="A93" t="s">
        <v>125</v>
      </c>
      <c r="B93" t="s">
        <v>23</v>
      </c>
      <c r="C93">
        <v>24</v>
      </c>
      <c r="D93" t="s">
        <v>28</v>
      </c>
      <c r="E93" t="s">
        <v>18</v>
      </c>
      <c r="F93" t="s">
        <v>21</v>
      </c>
      <c r="G93" s="2">
        <v>610000</v>
      </c>
      <c r="H93" s="3">
        <v>1</v>
      </c>
      <c r="I93" s="3">
        <v>36</v>
      </c>
      <c r="J93" t="s">
        <v>29</v>
      </c>
      <c r="K93" s="8" t="str">
        <f t="shared" si="14"/>
        <v>F</v>
      </c>
      <c r="L93" t="str">
        <f t="shared" si="12"/>
        <v>&lt;25</v>
      </c>
      <c r="M93" t="str">
        <f t="shared" si="13"/>
        <v>Entry</v>
      </c>
      <c r="N93" t="str">
        <f t="shared" si="9"/>
        <v>F|Category B</v>
      </c>
      <c r="O93" t="str">
        <f t="shared" si="10"/>
        <v>No</v>
      </c>
      <c r="P93" t="str">
        <f t="shared" si="11"/>
        <v>Yes</v>
      </c>
    </row>
    <row r="94" spans="1:16">
      <c r="A94" t="s">
        <v>126</v>
      </c>
      <c r="B94" t="s">
        <v>23</v>
      </c>
      <c r="C94">
        <v>25</v>
      </c>
      <c r="D94" t="s">
        <v>17</v>
      </c>
      <c r="E94" t="s">
        <v>31</v>
      </c>
      <c r="F94" t="s">
        <v>24</v>
      </c>
      <c r="G94" s="2">
        <v>395000</v>
      </c>
      <c r="H94" s="3">
        <v>0</v>
      </c>
      <c r="I94" s="3">
        <v>23</v>
      </c>
      <c r="J94" t="s">
        <v>15</v>
      </c>
      <c r="K94" s="8" t="str">
        <f t="shared" si="14"/>
        <v>F</v>
      </c>
      <c r="L94" t="str">
        <f t="shared" si="12"/>
        <v>25-34</v>
      </c>
      <c r="M94" t="str">
        <f t="shared" si="13"/>
        <v>Entry</v>
      </c>
      <c r="N94" t="str">
        <f t="shared" si="9"/>
        <v>F|Category A</v>
      </c>
      <c r="O94" t="str">
        <f t="shared" si="10"/>
        <v>No</v>
      </c>
      <c r="P94" t="str">
        <f t="shared" si="11"/>
        <v>Yes</v>
      </c>
    </row>
    <row r="95" spans="1:16">
      <c r="A95" t="s">
        <v>127</v>
      </c>
      <c r="B95" t="s">
        <v>11</v>
      </c>
      <c r="C95">
        <v>49</v>
      </c>
      <c r="D95" t="s">
        <v>17</v>
      </c>
      <c r="E95" t="s">
        <v>42</v>
      </c>
      <c r="F95" t="s">
        <v>43</v>
      </c>
      <c r="G95" s="2">
        <v>1810000</v>
      </c>
      <c r="H95" s="3">
        <v>0</v>
      </c>
      <c r="I95" s="3">
        <v>65</v>
      </c>
      <c r="J95" t="s">
        <v>15</v>
      </c>
      <c r="K95" s="8" t="str">
        <f t="shared" si="14"/>
        <v>M</v>
      </c>
      <c r="L95" t="str">
        <f t="shared" si="12"/>
        <v>45-54</v>
      </c>
      <c r="M95" t="str">
        <f t="shared" si="13"/>
        <v>Leadership</v>
      </c>
      <c r="N95" t="str">
        <f t="shared" si="9"/>
        <v>M|Category A</v>
      </c>
      <c r="O95" t="str">
        <f t="shared" si="10"/>
        <v>Yes</v>
      </c>
      <c r="P95" t="str">
        <f t="shared" si="11"/>
        <v>Yes</v>
      </c>
    </row>
    <row r="96" spans="1:16">
      <c r="A96" t="s">
        <v>128</v>
      </c>
      <c r="B96" t="s">
        <v>11</v>
      </c>
      <c r="C96">
        <v>28</v>
      </c>
      <c r="D96" t="s">
        <v>58</v>
      </c>
      <c r="E96" t="s">
        <v>51</v>
      </c>
      <c r="F96" t="s">
        <v>14</v>
      </c>
      <c r="G96" s="2">
        <v>720000</v>
      </c>
      <c r="H96" s="3">
        <v>2</v>
      </c>
      <c r="I96" s="3">
        <v>22</v>
      </c>
      <c r="J96" t="s">
        <v>15</v>
      </c>
      <c r="K96" s="8" t="str">
        <f t="shared" si="14"/>
        <v>M</v>
      </c>
      <c r="L96" t="str">
        <f t="shared" si="12"/>
        <v>25-34</v>
      </c>
      <c r="M96" t="str">
        <f t="shared" si="13"/>
        <v>Mid</v>
      </c>
      <c r="N96" t="str">
        <f t="shared" si="9"/>
        <v>M|Category D</v>
      </c>
      <c r="O96" t="str">
        <f t="shared" si="10"/>
        <v>Yes</v>
      </c>
      <c r="P96" t="str">
        <f t="shared" si="11"/>
        <v>Yes</v>
      </c>
    </row>
    <row r="97" spans="1:16">
      <c r="A97" t="s">
        <v>129</v>
      </c>
      <c r="B97" t="s">
        <v>66</v>
      </c>
      <c r="C97">
        <v>44</v>
      </c>
      <c r="D97" t="s">
        <v>17</v>
      </c>
      <c r="E97" t="s">
        <v>31</v>
      </c>
      <c r="F97" t="s">
        <v>43</v>
      </c>
      <c r="G97" s="2">
        <v>1835000</v>
      </c>
      <c r="H97" s="3">
        <v>2</v>
      </c>
      <c r="I97" s="3">
        <v>51</v>
      </c>
      <c r="J97" t="s">
        <v>15</v>
      </c>
      <c r="K97" s="8" t="str">
        <f t="shared" si="14"/>
        <v>Undisclosed</v>
      </c>
      <c r="L97" t="str">
        <f t="shared" si="12"/>
        <v>35-44</v>
      </c>
      <c r="M97" t="str">
        <f t="shared" si="13"/>
        <v>Leadership</v>
      </c>
      <c r="N97" t="str">
        <f t="shared" si="9"/>
        <v>Undisclosed|Category A</v>
      </c>
      <c r="O97" t="str">
        <f t="shared" si="10"/>
        <v>Yes</v>
      </c>
      <c r="P97" t="str">
        <f t="shared" si="11"/>
        <v>Yes</v>
      </c>
    </row>
    <row r="98" spans="1:16">
      <c r="A98" t="s">
        <v>130</v>
      </c>
      <c r="B98" t="s">
        <v>23</v>
      </c>
      <c r="C98">
        <v>31</v>
      </c>
      <c r="D98" t="s">
        <v>28</v>
      </c>
      <c r="E98" t="s">
        <v>36</v>
      </c>
      <c r="F98" t="s">
        <v>21</v>
      </c>
      <c r="G98" s="2">
        <v>470000</v>
      </c>
      <c r="H98" s="3">
        <v>1</v>
      </c>
      <c r="I98" s="3">
        <v>18</v>
      </c>
      <c r="J98" t="s">
        <v>15</v>
      </c>
      <c r="K98" s="8" t="str">
        <f t="shared" si="14"/>
        <v>F</v>
      </c>
      <c r="L98" t="str">
        <f t="shared" si="12"/>
        <v>25-34</v>
      </c>
      <c r="M98" t="str">
        <f t="shared" si="13"/>
        <v>Entry</v>
      </c>
      <c r="N98" t="str">
        <f t="shared" si="9"/>
        <v>F|Category B</v>
      </c>
      <c r="O98" t="str">
        <f t="shared" si="10"/>
        <v>No</v>
      </c>
      <c r="P98" t="str">
        <f t="shared" si="11"/>
        <v>Yes</v>
      </c>
    </row>
    <row r="99" spans="1:16">
      <c r="A99" t="s">
        <v>131</v>
      </c>
      <c r="B99" t="s">
        <v>23</v>
      </c>
      <c r="C99">
        <v>35</v>
      </c>
      <c r="D99" t="s">
        <v>17</v>
      </c>
      <c r="E99" t="s">
        <v>51</v>
      </c>
      <c r="F99" t="s">
        <v>34</v>
      </c>
      <c r="G99" s="2">
        <v>1215000</v>
      </c>
      <c r="H99" s="3">
        <v>2</v>
      </c>
      <c r="I99" s="3">
        <v>57</v>
      </c>
      <c r="J99" t="s">
        <v>29</v>
      </c>
      <c r="K99" s="8" t="str">
        <f t="shared" si="14"/>
        <v>F</v>
      </c>
      <c r="L99" t="str">
        <f t="shared" si="12"/>
        <v>35-44</v>
      </c>
      <c r="M99" t="str">
        <f t="shared" si="13"/>
        <v>Senior</v>
      </c>
      <c r="N99" t="str">
        <f t="shared" si="9"/>
        <v>F|Category A</v>
      </c>
      <c r="O99" t="str">
        <f t="shared" si="10"/>
        <v>Yes</v>
      </c>
      <c r="P99" t="str">
        <f t="shared" si="11"/>
        <v>Yes</v>
      </c>
    </row>
    <row r="100" spans="1:16">
      <c r="A100" t="s">
        <v>132</v>
      </c>
      <c r="B100" t="s">
        <v>11</v>
      </c>
      <c r="C100">
        <v>31</v>
      </c>
      <c r="D100" t="s">
        <v>12</v>
      </c>
      <c r="E100" t="s">
        <v>18</v>
      </c>
      <c r="F100" t="s">
        <v>21</v>
      </c>
      <c r="G100" s="2">
        <v>685000</v>
      </c>
      <c r="H100" s="3">
        <v>0</v>
      </c>
      <c r="I100" s="3">
        <v>39</v>
      </c>
      <c r="J100" t="s">
        <v>15</v>
      </c>
      <c r="K100" s="8" t="str">
        <f t="shared" si="14"/>
        <v>M</v>
      </c>
      <c r="L100" t="str">
        <f>IF(C100="","Missing",IF(C100&lt;25,"&lt;25",IF(C100&lt;35,"25-34",IF(C100&lt;45,"35-44",IF(C100&lt;55,"45-54","55+")))))</f>
        <v>25-34</v>
      </c>
      <c r="M100" t="str">
        <f>IF(OR(F100="Entry",F100="Junior"),"Entry",IF(F100="Mid-Level","Mid",IF(F100="Senior","Senior",IF(OR(F100="Manager",F100="Senior Manager"),"Leadership","Review"))))</f>
        <v>Entry</v>
      </c>
      <c r="N100" t="str">
        <f t="shared" si="9"/>
        <v>M|Category C</v>
      </c>
      <c r="O100" t="str">
        <f t="shared" si="10"/>
        <v>No</v>
      </c>
      <c r="P100" t="str">
        <f t="shared" si="11"/>
        <v>Yes</v>
      </c>
    </row>
    <row r="101" spans="1:16">
      <c r="A101" t="s">
        <v>133</v>
      </c>
      <c r="B101" t="s">
        <v>23</v>
      </c>
      <c r="C101">
        <v>29</v>
      </c>
      <c r="D101" t="s">
        <v>28</v>
      </c>
      <c r="E101" t="s">
        <v>31</v>
      </c>
      <c r="F101" t="s">
        <v>21</v>
      </c>
      <c r="G101" s="2">
        <v>425000</v>
      </c>
      <c r="H101" s="3">
        <v>0</v>
      </c>
      <c r="I101" s="3">
        <v>25</v>
      </c>
      <c r="J101" t="s">
        <v>15</v>
      </c>
      <c r="K101" s="8" t="str">
        <f t="shared" si="14"/>
        <v>F</v>
      </c>
      <c r="L101" t="str">
        <f t="shared" ref="L101:L123" si="15">IF(C101="","Missing",IF(C101&lt;25,"&lt;25",IF(C101&lt;35,"25-34",IF(C101&lt;45,"35-44",IF(C101&lt;55,"45-54","55+")))))</f>
        <v>25-34</v>
      </c>
      <c r="M101" t="str">
        <f t="shared" ref="M101:M127" si="16">IF(OR(F101="Entry",F101="Junior"),"Entry",IF(F101="Mid-Level","Mid",IF(F101="Senior","Senior",IF(OR(F101="Manager",F101="Senior Manager"),"Leadership","Review"))))</f>
        <v>Entry</v>
      </c>
      <c r="N101" t="str">
        <f t="shared" si="9"/>
        <v>F|Category B</v>
      </c>
      <c r="O101" t="str">
        <f t="shared" si="10"/>
        <v>No</v>
      </c>
      <c r="P101" t="str">
        <f t="shared" si="11"/>
        <v>Yes</v>
      </c>
    </row>
    <row r="102" spans="1:16">
      <c r="A102" t="s">
        <v>134</v>
      </c>
      <c r="B102" t="s">
        <v>23</v>
      </c>
      <c r="C102">
        <v>27</v>
      </c>
      <c r="D102" t="s">
        <v>28</v>
      </c>
      <c r="E102" t="s">
        <v>51</v>
      </c>
      <c r="F102" t="s">
        <v>14</v>
      </c>
      <c r="G102" s="2">
        <v>665000</v>
      </c>
      <c r="H102" s="3">
        <v>1</v>
      </c>
      <c r="I102" s="3">
        <v>36</v>
      </c>
      <c r="J102" t="s">
        <v>29</v>
      </c>
      <c r="K102" s="8" t="str">
        <f>IF(B102="Male","M",IF(B102="Female","F",IF(B102="Prefer Not to Say","Undisclosed","Other")))</f>
        <v>F</v>
      </c>
      <c r="L102" t="str">
        <f t="shared" si="15"/>
        <v>25-34</v>
      </c>
      <c r="M102" t="str">
        <f t="shared" si="16"/>
        <v>Mid</v>
      </c>
      <c r="N102" t="str">
        <f t="shared" si="9"/>
        <v>F|Category B</v>
      </c>
      <c r="O102" t="str">
        <f t="shared" si="10"/>
        <v>Yes</v>
      </c>
      <c r="P102" t="str">
        <f t="shared" si="11"/>
        <v>Yes</v>
      </c>
    </row>
    <row r="103" spans="1:16">
      <c r="A103" t="s">
        <v>135</v>
      </c>
      <c r="B103" t="s">
        <v>23</v>
      </c>
      <c r="C103">
        <v>22</v>
      </c>
      <c r="D103" t="s">
        <v>17</v>
      </c>
      <c r="E103" t="s">
        <v>18</v>
      </c>
      <c r="F103" t="s">
        <v>24</v>
      </c>
      <c r="G103" s="2">
        <v>405000</v>
      </c>
      <c r="H103" s="3">
        <v>1</v>
      </c>
      <c r="I103" s="3">
        <v>12</v>
      </c>
      <c r="J103" t="s">
        <v>15</v>
      </c>
      <c r="K103" s="8" t="str">
        <f t="shared" ref="K103:K129" si="17">IF(B103="Male","M",IF(B103="Female","F",IF(B103="Prefer Not to Say","Undisclosed","Other")))</f>
        <v>F</v>
      </c>
      <c r="L103" t="str">
        <f t="shared" si="15"/>
        <v>&lt;25</v>
      </c>
      <c r="M103" t="str">
        <f t="shared" si="16"/>
        <v>Entry</v>
      </c>
      <c r="N103" t="str">
        <f t="shared" si="9"/>
        <v>F|Category A</v>
      </c>
      <c r="O103" t="str">
        <f t="shared" si="10"/>
        <v>No</v>
      </c>
      <c r="P103" t="str">
        <f t="shared" si="11"/>
        <v>Yes</v>
      </c>
    </row>
    <row r="104" spans="1:16">
      <c r="A104" t="s">
        <v>136</v>
      </c>
      <c r="B104" t="s">
        <v>23</v>
      </c>
      <c r="C104">
        <v>32</v>
      </c>
      <c r="D104" t="s">
        <v>58</v>
      </c>
      <c r="E104" t="s">
        <v>51</v>
      </c>
      <c r="F104" t="s">
        <v>14</v>
      </c>
      <c r="G104" s="2">
        <v>955000</v>
      </c>
      <c r="H104" s="3">
        <v>2</v>
      </c>
      <c r="I104" s="3">
        <v>39</v>
      </c>
      <c r="J104" t="s">
        <v>29</v>
      </c>
      <c r="K104" s="8" t="str">
        <f t="shared" si="17"/>
        <v>F</v>
      </c>
      <c r="L104" t="str">
        <f t="shared" si="15"/>
        <v>25-34</v>
      </c>
      <c r="M104" t="str">
        <f t="shared" si="16"/>
        <v>Mid</v>
      </c>
      <c r="N104" t="str">
        <f t="shared" si="9"/>
        <v>F|Category D</v>
      </c>
      <c r="O104" t="str">
        <f t="shared" si="10"/>
        <v>Yes</v>
      </c>
      <c r="P104" t="str">
        <f t="shared" si="11"/>
        <v>Yes</v>
      </c>
    </row>
    <row r="105" spans="1:16">
      <c r="A105" t="s">
        <v>137</v>
      </c>
      <c r="B105" t="s">
        <v>11</v>
      </c>
      <c r="C105">
        <v>36</v>
      </c>
      <c r="D105" t="s">
        <v>17</v>
      </c>
      <c r="E105" t="s">
        <v>13</v>
      </c>
      <c r="F105" t="s">
        <v>43</v>
      </c>
      <c r="G105" s="2">
        <v>1945000</v>
      </c>
      <c r="H105" s="3">
        <v>0</v>
      </c>
      <c r="I105" s="3">
        <v>65</v>
      </c>
      <c r="J105" t="s">
        <v>15</v>
      </c>
      <c r="K105" s="8" t="str">
        <f t="shared" si="17"/>
        <v>M</v>
      </c>
      <c r="L105" t="str">
        <f t="shared" si="15"/>
        <v>35-44</v>
      </c>
      <c r="M105" t="str">
        <f t="shared" si="16"/>
        <v>Leadership</v>
      </c>
      <c r="N105" t="str">
        <f t="shared" si="9"/>
        <v>M|Category A</v>
      </c>
      <c r="O105" t="str">
        <f t="shared" si="10"/>
        <v>Yes</v>
      </c>
      <c r="P105" t="str">
        <f t="shared" si="11"/>
        <v>Yes</v>
      </c>
    </row>
    <row r="106" spans="1:16">
      <c r="A106" t="s">
        <v>138</v>
      </c>
      <c r="B106" t="s">
        <v>23</v>
      </c>
      <c r="C106">
        <v>28</v>
      </c>
      <c r="D106" t="s">
        <v>58</v>
      </c>
      <c r="E106" t="s">
        <v>42</v>
      </c>
      <c r="F106" t="s">
        <v>14</v>
      </c>
      <c r="G106" s="2">
        <v>1000000</v>
      </c>
      <c r="H106" s="3">
        <v>1</v>
      </c>
      <c r="I106" s="3">
        <v>21</v>
      </c>
      <c r="J106" t="s">
        <v>15</v>
      </c>
      <c r="K106" s="8" t="str">
        <f t="shared" si="17"/>
        <v>F</v>
      </c>
      <c r="L106" t="str">
        <f t="shared" si="15"/>
        <v>25-34</v>
      </c>
      <c r="M106" t="str">
        <f t="shared" si="16"/>
        <v>Mid</v>
      </c>
      <c r="N106" t="str">
        <f t="shared" si="9"/>
        <v>F|Category D</v>
      </c>
      <c r="O106" t="str">
        <f t="shared" si="10"/>
        <v>Yes</v>
      </c>
      <c r="P106" t="str">
        <f t="shared" si="11"/>
        <v>Yes</v>
      </c>
    </row>
    <row r="107" spans="1:16">
      <c r="A107" t="s">
        <v>139</v>
      </c>
      <c r="B107" t="s">
        <v>23</v>
      </c>
      <c r="C107">
        <v>23</v>
      </c>
      <c r="D107" t="s">
        <v>12</v>
      </c>
      <c r="E107" t="s">
        <v>31</v>
      </c>
      <c r="F107" t="s">
        <v>21</v>
      </c>
      <c r="G107" s="2">
        <v>555000</v>
      </c>
      <c r="H107" s="3">
        <v>0</v>
      </c>
      <c r="I107" s="3">
        <v>23</v>
      </c>
      <c r="J107" t="s">
        <v>15</v>
      </c>
      <c r="K107" s="8" t="str">
        <f t="shared" si="17"/>
        <v>F</v>
      </c>
      <c r="L107" t="str">
        <f t="shared" si="15"/>
        <v>&lt;25</v>
      </c>
      <c r="M107" t="str">
        <f t="shared" si="16"/>
        <v>Entry</v>
      </c>
      <c r="N107" t="str">
        <f t="shared" si="9"/>
        <v>F|Category C</v>
      </c>
      <c r="O107" t="str">
        <f t="shared" si="10"/>
        <v>No</v>
      </c>
      <c r="P107" t="str">
        <f t="shared" si="11"/>
        <v>Yes</v>
      </c>
    </row>
    <row r="108" spans="1:16">
      <c r="A108" t="s">
        <v>140</v>
      </c>
      <c r="B108" t="s">
        <v>23</v>
      </c>
      <c r="C108">
        <v>21</v>
      </c>
      <c r="D108" t="s">
        <v>12</v>
      </c>
      <c r="E108" t="s">
        <v>47</v>
      </c>
      <c r="F108" t="s">
        <v>24</v>
      </c>
      <c r="G108" s="2">
        <v>460000</v>
      </c>
      <c r="H108" s="3">
        <v>1</v>
      </c>
      <c r="I108" s="3">
        <v>27</v>
      </c>
      <c r="J108" t="s">
        <v>15</v>
      </c>
      <c r="K108" s="8" t="str">
        <f t="shared" si="17"/>
        <v>F</v>
      </c>
      <c r="L108" t="str">
        <f t="shared" si="15"/>
        <v>&lt;25</v>
      </c>
      <c r="M108" t="str">
        <f t="shared" si="16"/>
        <v>Entry</v>
      </c>
      <c r="N108" t="str">
        <f t="shared" si="9"/>
        <v>F|Category C</v>
      </c>
      <c r="O108" t="str">
        <f t="shared" si="10"/>
        <v>No</v>
      </c>
      <c r="P108" t="str">
        <f t="shared" si="11"/>
        <v>Yes</v>
      </c>
    </row>
    <row r="109" spans="1:16">
      <c r="A109" t="s">
        <v>141</v>
      </c>
      <c r="B109" t="s">
        <v>11</v>
      </c>
      <c r="C109">
        <v>31</v>
      </c>
      <c r="D109" t="s">
        <v>28</v>
      </c>
      <c r="E109" t="s">
        <v>31</v>
      </c>
      <c r="F109" t="s">
        <v>14</v>
      </c>
      <c r="G109" s="2">
        <v>840000</v>
      </c>
      <c r="H109" s="3">
        <v>0</v>
      </c>
      <c r="I109" s="3">
        <v>15</v>
      </c>
      <c r="J109" t="s">
        <v>29</v>
      </c>
      <c r="K109" s="8" t="str">
        <f t="shared" si="17"/>
        <v>M</v>
      </c>
      <c r="L109" t="str">
        <f t="shared" si="15"/>
        <v>25-34</v>
      </c>
      <c r="M109" t="str">
        <f t="shared" si="16"/>
        <v>Mid</v>
      </c>
      <c r="N109" t="str">
        <f t="shared" si="9"/>
        <v>M|Category B</v>
      </c>
      <c r="O109" t="str">
        <f t="shared" si="10"/>
        <v>Yes</v>
      </c>
      <c r="P109" t="str">
        <f t="shared" si="11"/>
        <v>Yes</v>
      </c>
    </row>
    <row r="110" spans="1:16">
      <c r="A110" t="s">
        <v>142</v>
      </c>
      <c r="B110" t="s">
        <v>11</v>
      </c>
      <c r="C110">
        <v>23</v>
      </c>
      <c r="D110" t="s">
        <v>28</v>
      </c>
      <c r="E110" t="s">
        <v>18</v>
      </c>
      <c r="F110" t="s">
        <v>24</v>
      </c>
      <c r="G110" s="2">
        <v>455000</v>
      </c>
      <c r="H110" s="3">
        <v>0</v>
      </c>
      <c r="I110" s="3">
        <v>21</v>
      </c>
      <c r="J110" t="s">
        <v>15</v>
      </c>
      <c r="K110" s="8" t="str">
        <f t="shared" si="17"/>
        <v>M</v>
      </c>
      <c r="L110" t="str">
        <f t="shared" si="15"/>
        <v>&lt;25</v>
      </c>
      <c r="M110" t="str">
        <f t="shared" si="16"/>
        <v>Entry</v>
      </c>
      <c r="N110" t="str">
        <f t="shared" si="9"/>
        <v>M|Category B</v>
      </c>
      <c r="O110" t="str">
        <f t="shared" si="10"/>
        <v>No</v>
      </c>
      <c r="P110" t="str">
        <f t="shared" si="11"/>
        <v>Yes</v>
      </c>
    </row>
    <row r="111" spans="1:16">
      <c r="A111" t="s">
        <v>143</v>
      </c>
      <c r="B111" t="s">
        <v>66</v>
      </c>
      <c r="C111">
        <v>38</v>
      </c>
      <c r="D111" t="s">
        <v>28</v>
      </c>
      <c r="E111" t="s">
        <v>18</v>
      </c>
      <c r="F111" t="s">
        <v>43</v>
      </c>
      <c r="G111" s="2">
        <v>1550000</v>
      </c>
      <c r="H111" s="3">
        <v>0</v>
      </c>
      <c r="I111" s="3">
        <v>47</v>
      </c>
      <c r="J111" t="s">
        <v>15</v>
      </c>
      <c r="K111" s="8" t="str">
        <f t="shared" si="17"/>
        <v>Undisclosed</v>
      </c>
      <c r="L111" t="str">
        <f t="shared" si="15"/>
        <v>35-44</v>
      </c>
      <c r="M111" t="str">
        <f t="shared" si="16"/>
        <v>Leadership</v>
      </c>
      <c r="N111" t="str">
        <f t="shared" si="9"/>
        <v>Undisclosed|Category B</v>
      </c>
      <c r="O111" t="str">
        <f t="shared" si="10"/>
        <v>Yes</v>
      </c>
      <c r="P111" t="str">
        <f t="shared" si="11"/>
        <v>Yes</v>
      </c>
    </row>
    <row r="112" spans="1:16">
      <c r="A112" t="s">
        <v>144</v>
      </c>
      <c r="B112" t="s">
        <v>23</v>
      </c>
      <c r="C112">
        <v>23</v>
      </c>
      <c r="D112" t="s">
        <v>12</v>
      </c>
      <c r="E112" t="s">
        <v>20</v>
      </c>
      <c r="F112" t="s">
        <v>21</v>
      </c>
      <c r="G112" s="2">
        <v>660000</v>
      </c>
      <c r="H112" s="3">
        <v>1</v>
      </c>
      <c r="I112" s="3">
        <v>38</v>
      </c>
      <c r="J112" t="s">
        <v>15</v>
      </c>
      <c r="K112" s="8" t="str">
        <f t="shared" si="17"/>
        <v>F</v>
      </c>
      <c r="L112" t="str">
        <f t="shared" si="15"/>
        <v>&lt;25</v>
      </c>
      <c r="M112" t="str">
        <f t="shared" si="16"/>
        <v>Entry</v>
      </c>
      <c r="N112" t="str">
        <f t="shared" si="9"/>
        <v>F|Category C</v>
      </c>
      <c r="O112" t="str">
        <f t="shared" si="10"/>
        <v>No</v>
      </c>
      <c r="P112" t="str">
        <f t="shared" si="11"/>
        <v>Yes</v>
      </c>
    </row>
    <row r="113" spans="1:16">
      <c r="A113" t="s">
        <v>145</v>
      </c>
      <c r="B113" t="s">
        <v>23</v>
      </c>
      <c r="C113">
        <v>26</v>
      </c>
      <c r="D113" t="s">
        <v>17</v>
      </c>
      <c r="E113" t="s">
        <v>13</v>
      </c>
      <c r="F113" t="s">
        <v>21</v>
      </c>
      <c r="G113" s="2">
        <v>530000</v>
      </c>
      <c r="H113" s="3">
        <v>1</v>
      </c>
      <c r="I113" s="3">
        <v>33</v>
      </c>
      <c r="J113" t="s">
        <v>15</v>
      </c>
      <c r="K113" s="8" t="str">
        <f t="shared" si="17"/>
        <v>F</v>
      </c>
      <c r="L113" t="str">
        <f t="shared" si="15"/>
        <v>25-34</v>
      </c>
      <c r="M113" t="str">
        <f t="shared" si="16"/>
        <v>Entry</v>
      </c>
      <c r="N113" t="str">
        <f t="shared" si="9"/>
        <v>F|Category A</v>
      </c>
      <c r="O113" t="str">
        <f t="shared" si="10"/>
        <v>No</v>
      </c>
      <c r="P113" t="str">
        <f t="shared" si="11"/>
        <v>Yes</v>
      </c>
    </row>
    <row r="114" spans="1:16">
      <c r="A114" t="s">
        <v>146</v>
      </c>
      <c r="B114" t="s">
        <v>23</v>
      </c>
      <c r="C114">
        <v>36</v>
      </c>
      <c r="D114" t="s">
        <v>17</v>
      </c>
      <c r="E114" t="s">
        <v>36</v>
      </c>
      <c r="F114" t="s">
        <v>43</v>
      </c>
      <c r="G114" s="2">
        <v>1625000</v>
      </c>
      <c r="H114" s="3">
        <v>2</v>
      </c>
      <c r="I114" s="3">
        <v>27</v>
      </c>
      <c r="J114" t="s">
        <v>15</v>
      </c>
      <c r="K114" s="8" t="str">
        <f t="shared" si="17"/>
        <v>F</v>
      </c>
      <c r="L114" t="str">
        <f t="shared" si="15"/>
        <v>35-44</v>
      </c>
      <c r="M114" t="str">
        <f t="shared" si="16"/>
        <v>Leadership</v>
      </c>
      <c r="N114" t="str">
        <f t="shared" si="9"/>
        <v>F|Category A</v>
      </c>
      <c r="O114" t="str">
        <f t="shared" si="10"/>
        <v>Yes</v>
      </c>
      <c r="P114" t="str">
        <f t="shared" si="11"/>
        <v>Yes</v>
      </c>
    </row>
    <row r="115" spans="1:16">
      <c r="A115" t="s">
        <v>147</v>
      </c>
      <c r="B115" t="s">
        <v>66</v>
      </c>
      <c r="C115">
        <v>29</v>
      </c>
      <c r="D115" t="s">
        <v>28</v>
      </c>
      <c r="E115" t="s">
        <v>36</v>
      </c>
      <c r="F115" t="s">
        <v>21</v>
      </c>
      <c r="G115" s="2">
        <v>490000</v>
      </c>
      <c r="H115" s="3">
        <v>0</v>
      </c>
      <c r="I115" s="3">
        <v>35</v>
      </c>
      <c r="J115" t="s">
        <v>15</v>
      </c>
      <c r="K115" s="8" t="str">
        <f t="shared" si="17"/>
        <v>Undisclosed</v>
      </c>
      <c r="L115" t="str">
        <f t="shared" si="15"/>
        <v>25-34</v>
      </c>
      <c r="M115" t="str">
        <f t="shared" si="16"/>
        <v>Entry</v>
      </c>
      <c r="N115" t="str">
        <f t="shared" si="9"/>
        <v>Undisclosed|Category B</v>
      </c>
      <c r="O115" t="str">
        <f t="shared" si="10"/>
        <v>No</v>
      </c>
      <c r="P115" t="str">
        <f t="shared" si="11"/>
        <v>Yes</v>
      </c>
    </row>
    <row r="116" spans="1:16">
      <c r="A116" t="s">
        <v>148</v>
      </c>
      <c r="B116" t="s">
        <v>11</v>
      </c>
      <c r="C116">
        <v>35</v>
      </c>
      <c r="D116" t="s">
        <v>17</v>
      </c>
      <c r="E116" t="s">
        <v>13</v>
      </c>
      <c r="F116" t="s">
        <v>34</v>
      </c>
      <c r="G116" s="2">
        <v>1405000</v>
      </c>
      <c r="H116" s="3">
        <v>3</v>
      </c>
      <c r="I116" s="3">
        <v>38</v>
      </c>
      <c r="J116" t="s">
        <v>15</v>
      </c>
      <c r="K116" s="8" t="str">
        <f t="shared" si="17"/>
        <v>M</v>
      </c>
      <c r="L116" t="str">
        <f t="shared" si="15"/>
        <v>35-44</v>
      </c>
      <c r="M116" t="str">
        <f t="shared" si="16"/>
        <v>Senior</v>
      </c>
      <c r="N116" t="str">
        <f t="shared" si="9"/>
        <v>M|Category A</v>
      </c>
      <c r="O116" t="str">
        <f t="shared" si="10"/>
        <v>Yes</v>
      </c>
      <c r="P116" t="str">
        <f t="shared" si="11"/>
        <v>Yes</v>
      </c>
    </row>
    <row r="117" spans="1:16">
      <c r="A117" t="s">
        <v>149</v>
      </c>
      <c r="B117" t="s">
        <v>23</v>
      </c>
      <c r="C117">
        <v>22</v>
      </c>
      <c r="D117" t="s">
        <v>28</v>
      </c>
      <c r="E117" t="s">
        <v>18</v>
      </c>
      <c r="F117" t="s">
        <v>24</v>
      </c>
      <c r="G117" s="2">
        <v>475000</v>
      </c>
      <c r="H117" s="3">
        <v>1</v>
      </c>
      <c r="I117" s="3">
        <v>20</v>
      </c>
      <c r="J117" t="s">
        <v>29</v>
      </c>
      <c r="K117" s="8" t="str">
        <f t="shared" si="17"/>
        <v>F</v>
      </c>
      <c r="L117" t="str">
        <f t="shared" si="15"/>
        <v>&lt;25</v>
      </c>
      <c r="M117" t="str">
        <f t="shared" si="16"/>
        <v>Entry</v>
      </c>
      <c r="N117" t="str">
        <f t="shared" si="9"/>
        <v>F|Category B</v>
      </c>
      <c r="O117" t="str">
        <f t="shared" si="10"/>
        <v>No</v>
      </c>
      <c r="P117" t="str">
        <f t="shared" si="11"/>
        <v>Yes</v>
      </c>
    </row>
    <row r="118" spans="1:16">
      <c r="A118" t="s">
        <v>150</v>
      </c>
      <c r="B118" t="s">
        <v>11</v>
      </c>
      <c r="C118">
        <v>25</v>
      </c>
      <c r="D118" t="s">
        <v>28</v>
      </c>
      <c r="E118" t="s">
        <v>20</v>
      </c>
      <c r="F118" t="s">
        <v>24</v>
      </c>
      <c r="G118" s="2">
        <v>330000</v>
      </c>
      <c r="H118" s="3">
        <v>0</v>
      </c>
      <c r="I118" s="3">
        <v>29</v>
      </c>
      <c r="J118" t="s">
        <v>15</v>
      </c>
      <c r="K118" s="8" t="str">
        <f t="shared" si="17"/>
        <v>M</v>
      </c>
      <c r="L118" t="str">
        <f t="shared" si="15"/>
        <v>25-34</v>
      </c>
      <c r="M118" t="str">
        <f t="shared" si="16"/>
        <v>Entry</v>
      </c>
      <c r="N118" t="str">
        <f t="shared" si="9"/>
        <v>M|Category B</v>
      </c>
      <c r="O118" t="str">
        <f t="shared" si="10"/>
        <v>No</v>
      </c>
      <c r="P118" t="str">
        <f t="shared" si="11"/>
        <v>Yes</v>
      </c>
    </row>
    <row r="119" spans="1:16">
      <c r="A119" t="s">
        <v>151</v>
      </c>
      <c r="B119" t="s">
        <v>23</v>
      </c>
      <c r="C119">
        <v>22</v>
      </c>
      <c r="D119" t="s">
        <v>12</v>
      </c>
      <c r="E119" t="s">
        <v>51</v>
      </c>
      <c r="F119" t="s">
        <v>24</v>
      </c>
      <c r="G119" s="2">
        <v>425000</v>
      </c>
      <c r="H119" s="3">
        <v>0</v>
      </c>
      <c r="I119" s="3">
        <v>25</v>
      </c>
      <c r="J119" t="s">
        <v>15</v>
      </c>
      <c r="K119" s="8" t="str">
        <f t="shared" si="17"/>
        <v>F</v>
      </c>
      <c r="L119" t="str">
        <f t="shared" si="15"/>
        <v>&lt;25</v>
      </c>
      <c r="M119" t="str">
        <f t="shared" si="16"/>
        <v>Entry</v>
      </c>
      <c r="N119" t="str">
        <f t="shared" si="9"/>
        <v>F|Category C</v>
      </c>
      <c r="O119" t="str">
        <f t="shared" si="10"/>
        <v>No</v>
      </c>
      <c r="P119" t="str">
        <f t="shared" si="11"/>
        <v>Yes</v>
      </c>
    </row>
    <row r="120" spans="1:16">
      <c r="A120" t="s">
        <v>152</v>
      </c>
      <c r="B120" t="s">
        <v>11</v>
      </c>
      <c r="C120">
        <v>44</v>
      </c>
      <c r="D120" t="s">
        <v>66</v>
      </c>
      <c r="E120" t="s">
        <v>13</v>
      </c>
      <c r="F120" t="s">
        <v>43</v>
      </c>
      <c r="G120" s="2">
        <v>1980000</v>
      </c>
      <c r="H120" s="3">
        <v>1</v>
      </c>
      <c r="I120" s="3">
        <v>33</v>
      </c>
      <c r="J120" t="s">
        <v>15</v>
      </c>
      <c r="K120" s="8" t="str">
        <f t="shared" si="17"/>
        <v>M</v>
      </c>
      <c r="L120" t="str">
        <f t="shared" si="15"/>
        <v>35-44</v>
      </c>
      <c r="M120" t="str">
        <f t="shared" si="16"/>
        <v>Leadership</v>
      </c>
      <c r="N120" t="str">
        <f t="shared" si="9"/>
        <v>M|Prefer Not to Say</v>
      </c>
      <c r="O120" t="str">
        <f t="shared" si="10"/>
        <v>Yes</v>
      </c>
      <c r="P120" t="str">
        <f t="shared" si="11"/>
        <v>Yes</v>
      </c>
    </row>
    <row r="121" spans="1:16">
      <c r="A121" t="s">
        <v>153</v>
      </c>
      <c r="B121" t="s">
        <v>23</v>
      </c>
      <c r="C121">
        <v>25</v>
      </c>
      <c r="D121" t="s">
        <v>58</v>
      </c>
      <c r="E121" t="s">
        <v>18</v>
      </c>
      <c r="F121" t="s">
        <v>24</v>
      </c>
      <c r="G121" s="2">
        <v>335000</v>
      </c>
      <c r="H121" s="3">
        <v>0</v>
      </c>
      <c r="I121" s="3">
        <v>19</v>
      </c>
      <c r="J121" t="s">
        <v>15</v>
      </c>
      <c r="K121" s="8" t="str">
        <f t="shared" si="17"/>
        <v>F</v>
      </c>
      <c r="L121" t="str">
        <f t="shared" si="15"/>
        <v>25-34</v>
      </c>
      <c r="M121" t="str">
        <f t="shared" si="16"/>
        <v>Entry</v>
      </c>
      <c r="N121" t="str">
        <f t="shared" si="9"/>
        <v>F|Category D</v>
      </c>
      <c r="O121" t="str">
        <f t="shared" si="10"/>
        <v>No</v>
      </c>
      <c r="P121" t="str">
        <f t="shared" si="11"/>
        <v>Yes</v>
      </c>
    </row>
    <row r="122" spans="1:16">
      <c r="A122" t="s">
        <v>154</v>
      </c>
      <c r="B122" t="s">
        <v>23</v>
      </c>
      <c r="C122">
        <v>38</v>
      </c>
      <c r="D122" t="s">
        <v>58</v>
      </c>
      <c r="E122" t="s">
        <v>36</v>
      </c>
      <c r="F122" t="s">
        <v>14</v>
      </c>
      <c r="G122" s="2">
        <v>680000</v>
      </c>
      <c r="H122" s="3">
        <v>2</v>
      </c>
      <c r="I122" s="3">
        <v>21</v>
      </c>
      <c r="J122" t="s">
        <v>15</v>
      </c>
      <c r="K122" s="8" t="str">
        <f t="shared" si="17"/>
        <v>F</v>
      </c>
      <c r="L122" t="str">
        <f t="shared" si="15"/>
        <v>35-44</v>
      </c>
      <c r="M122" t="str">
        <f t="shared" si="16"/>
        <v>Mid</v>
      </c>
      <c r="N122" t="str">
        <f t="shared" si="9"/>
        <v>F|Category D</v>
      </c>
      <c r="O122" t="str">
        <f t="shared" si="10"/>
        <v>Yes</v>
      </c>
      <c r="P122" t="str">
        <f t="shared" si="11"/>
        <v>Yes</v>
      </c>
    </row>
    <row r="123" spans="1:16">
      <c r="A123" t="s">
        <v>155</v>
      </c>
      <c r="B123" t="s">
        <v>11</v>
      </c>
      <c r="C123">
        <v>23</v>
      </c>
      <c r="D123" t="s">
        <v>12</v>
      </c>
      <c r="E123" t="s">
        <v>20</v>
      </c>
      <c r="F123" t="s">
        <v>24</v>
      </c>
      <c r="G123" s="2">
        <v>355000</v>
      </c>
      <c r="H123" s="3">
        <v>0</v>
      </c>
      <c r="I123" s="3">
        <v>15</v>
      </c>
      <c r="J123" t="s">
        <v>29</v>
      </c>
      <c r="K123" s="8" t="str">
        <f t="shared" si="17"/>
        <v>M</v>
      </c>
      <c r="L123" t="str">
        <f t="shared" si="15"/>
        <v>&lt;25</v>
      </c>
      <c r="M123" t="str">
        <f t="shared" si="16"/>
        <v>Entry</v>
      </c>
      <c r="N123" t="str">
        <f t="shared" si="9"/>
        <v>M|Category C</v>
      </c>
      <c r="O123" t="str">
        <f t="shared" si="10"/>
        <v>No</v>
      </c>
      <c r="P123" t="str">
        <f t="shared" si="11"/>
        <v>Yes</v>
      </c>
    </row>
    <row r="124" spans="1:16">
      <c r="A124" t="s">
        <v>156</v>
      </c>
      <c r="B124" t="s">
        <v>11</v>
      </c>
      <c r="C124">
        <v>23</v>
      </c>
      <c r="D124" t="s">
        <v>12</v>
      </c>
      <c r="E124" t="s">
        <v>42</v>
      </c>
      <c r="F124" t="s">
        <v>24</v>
      </c>
      <c r="G124" s="2">
        <v>350000</v>
      </c>
      <c r="H124" s="3">
        <v>1</v>
      </c>
      <c r="I124" s="3">
        <v>22</v>
      </c>
      <c r="J124" t="s">
        <v>15</v>
      </c>
      <c r="K124" s="8" t="str">
        <f t="shared" si="17"/>
        <v>M</v>
      </c>
      <c r="L124" t="str">
        <f>IF(C124="","Missing",IF(C124&lt;25,"&lt;25",IF(C124&lt;35,"25-34",IF(C124&lt;45,"35-44",IF(C124&lt;55,"45-54","55+")))))</f>
        <v>&lt;25</v>
      </c>
      <c r="M124" t="str">
        <f t="shared" si="16"/>
        <v>Entry</v>
      </c>
      <c r="N124" t="str">
        <f t="shared" si="9"/>
        <v>M|Category C</v>
      </c>
      <c r="O124" t="str">
        <f t="shared" si="10"/>
        <v>No</v>
      </c>
      <c r="P124" t="str">
        <f t="shared" si="11"/>
        <v>Yes</v>
      </c>
    </row>
    <row r="125" spans="1:16">
      <c r="A125" t="s">
        <v>157</v>
      </c>
      <c r="B125" t="s">
        <v>23</v>
      </c>
      <c r="C125">
        <v>23</v>
      </c>
      <c r="D125" t="s">
        <v>12</v>
      </c>
      <c r="E125" t="s">
        <v>47</v>
      </c>
      <c r="F125" t="s">
        <v>24</v>
      </c>
      <c r="G125" s="2">
        <v>365000</v>
      </c>
      <c r="H125" s="3">
        <v>1</v>
      </c>
      <c r="I125" s="3">
        <v>26</v>
      </c>
      <c r="J125" t="s">
        <v>15</v>
      </c>
      <c r="K125" s="8" t="str">
        <f t="shared" si="17"/>
        <v>F</v>
      </c>
      <c r="L125" t="str">
        <f t="shared" ref="L125:L142" si="18">IF(C125="","Missing",IF(C125&lt;25,"&lt;25",IF(C125&lt;35,"25-34",IF(C125&lt;45,"35-44",IF(C125&lt;55,"45-54","55+")))))</f>
        <v>&lt;25</v>
      </c>
      <c r="M125" t="str">
        <f t="shared" si="16"/>
        <v>Entry</v>
      </c>
      <c r="N125" t="str">
        <f t="shared" si="9"/>
        <v>F|Category C</v>
      </c>
      <c r="O125" t="str">
        <f t="shared" si="10"/>
        <v>No</v>
      </c>
      <c r="P125" t="str">
        <f t="shared" si="11"/>
        <v>Yes</v>
      </c>
    </row>
    <row r="126" spans="1:16">
      <c r="A126" t="s">
        <v>158</v>
      </c>
      <c r="B126" t="s">
        <v>23</v>
      </c>
      <c r="C126">
        <v>34</v>
      </c>
      <c r="D126" t="s">
        <v>17</v>
      </c>
      <c r="E126" t="s">
        <v>31</v>
      </c>
      <c r="F126" t="s">
        <v>34</v>
      </c>
      <c r="G126" s="2">
        <v>1245000</v>
      </c>
      <c r="H126" s="3">
        <v>2</v>
      </c>
      <c r="I126" s="3">
        <v>58</v>
      </c>
      <c r="J126" t="s">
        <v>15</v>
      </c>
      <c r="K126" s="8" t="str">
        <f t="shared" si="17"/>
        <v>F</v>
      </c>
      <c r="L126" t="str">
        <f t="shared" si="18"/>
        <v>25-34</v>
      </c>
      <c r="M126" t="str">
        <f t="shared" si="16"/>
        <v>Senior</v>
      </c>
      <c r="N126" t="str">
        <f t="shared" si="9"/>
        <v>F|Category A</v>
      </c>
      <c r="O126" t="str">
        <f t="shared" si="10"/>
        <v>Yes</v>
      </c>
      <c r="P126" t="str">
        <f t="shared" si="11"/>
        <v>Yes</v>
      </c>
    </row>
    <row r="127" spans="1:16">
      <c r="A127" t="s">
        <v>159</v>
      </c>
      <c r="B127" t="s">
        <v>11</v>
      </c>
      <c r="C127">
        <v>29</v>
      </c>
      <c r="D127" t="s">
        <v>58</v>
      </c>
      <c r="E127" t="s">
        <v>20</v>
      </c>
      <c r="F127" t="s">
        <v>14</v>
      </c>
      <c r="G127" s="2">
        <v>660000</v>
      </c>
      <c r="H127" s="3">
        <v>1</v>
      </c>
      <c r="I127" s="3">
        <v>16</v>
      </c>
      <c r="J127" t="s">
        <v>15</v>
      </c>
      <c r="K127" s="8" t="str">
        <f t="shared" si="17"/>
        <v>M</v>
      </c>
      <c r="L127" t="str">
        <f t="shared" si="18"/>
        <v>25-34</v>
      </c>
      <c r="M127" t="str">
        <f t="shared" si="16"/>
        <v>Mid</v>
      </c>
      <c r="N127" t="str">
        <f t="shared" si="9"/>
        <v>M|Category D</v>
      </c>
      <c r="O127" t="str">
        <f t="shared" si="10"/>
        <v>Yes</v>
      </c>
      <c r="P127" t="str">
        <f t="shared" si="11"/>
        <v>Yes</v>
      </c>
    </row>
    <row r="128" spans="1:16">
      <c r="A128" t="s">
        <v>160</v>
      </c>
      <c r="B128" t="s">
        <v>23</v>
      </c>
      <c r="C128">
        <v>23</v>
      </c>
      <c r="D128" t="s">
        <v>28</v>
      </c>
      <c r="E128" t="s">
        <v>20</v>
      </c>
      <c r="F128" t="s">
        <v>24</v>
      </c>
      <c r="G128" s="2">
        <v>315000</v>
      </c>
      <c r="H128" s="3">
        <v>0</v>
      </c>
      <c r="I128" s="3">
        <v>21</v>
      </c>
      <c r="J128" t="s">
        <v>15</v>
      </c>
      <c r="K128" s="8" t="str">
        <f>IF(B128="Male","M",IF(B128="Female","F",IF(B128="Prefer Not to Say","Undisclosed","Other")))</f>
        <v>F</v>
      </c>
      <c r="L128" t="str">
        <f t="shared" si="18"/>
        <v>&lt;25</v>
      </c>
      <c r="M128" t="str">
        <f>IF(OR(F128="Entry",F128="Junior"),"Entry",IF(F128="Mid-Level","Mid",IF(F128="Senior","Senior",IF(OR(F128="Manager",F128="Senior Manager"),"Leadership","Review"))))</f>
        <v>Entry</v>
      </c>
      <c r="N128" t="str">
        <f t="shared" si="9"/>
        <v>F|Category B</v>
      </c>
      <c r="O128" t="str">
        <f t="shared" si="10"/>
        <v>No</v>
      </c>
      <c r="P128" t="str">
        <f t="shared" si="11"/>
        <v>Yes</v>
      </c>
    </row>
    <row r="129" spans="1:16">
      <c r="A129" t="s">
        <v>161</v>
      </c>
      <c r="B129" t="s">
        <v>23</v>
      </c>
      <c r="C129">
        <v>28</v>
      </c>
      <c r="D129" t="s">
        <v>12</v>
      </c>
      <c r="E129" t="s">
        <v>36</v>
      </c>
      <c r="F129" t="s">
        <v>14</v>
      </c>
      <c r="G129" s="2">
        <v>835000</v>
      </c>
      <c r="H129" s="3">
        <v>1</v>
      </c>
      <c r="I129" s="3">
        <v>17</v>
      </c>
      <c r="J129" t="s">
        <v>15</v>
      </c>
      <c r="K129" s="8" t="str">
        <f t="shared" si="17"/>
        <v>F</v>
      </c>
      <c r="L129" t="str">
        <f t="shared" si="18"/>
        <v>25-34</v>
      </c>
      <c r="M129" t="str">
        <f t="shared" ref="M129:M165" si="19">IF(OR(F129="Entry",F129="Junior"),"Entry",IF(F129="Mid-Level","Mid",IF(F129="Senior","Senior",IF(OR(F129="Manager",F129="Senior Manager"),"Leadership","Review"))))</f>
        <v>Mid</v>
      </c>
      <c r="N129" t="str">
        <f t="shared" si="9"/>
        <v>F|Category C</v>
      </c>
      <c r="O129" t="str">
        <f t="shared" si="10"/>
        <v>Yes</v>
      </c>
      <c r="P129" t="str">
        <f t="shared" si="11"/>
        <v>Yes</v>
      </c>
    </row>
    <row r="130" spans="1:16">
      <c r="A130" t="s">
        <v>162</v>
      </c>
      <c r="B130" t="s">
        <v>11</v>
      </c>
      <c r="C130">
        <v>27</v>
      </c>
      <c r="D130" t="s">
        <v>12</v>
      </c>
      <c r="E130" t="s">
        <v>51</v>
      </c>
      <c r="F130" t="s">
        <v>14</v>
      </c>
      <c r="G130" s="2">
        <v>630000</v>
      </c>
      <c r="H130" s="3">
        <v>2</v>
      </c>
      <c r="I130" s="3">
        <v>40</v>
      </c>
      <c r="J130" t="s">
        <v>15</v>
      </c>
      <c r="K130" s="8" t="str">
        <f>IF(B130="Male","M",IF(B130="Female","F",IF(B130="Prefer Not to Say","Undisclosed","Other")))</f>
        <v>M</v>
      </c>
      <c r="L130" t="str">
        <f t="shared" si="18"/>
        <v>25-34</v>
      </c>
      <c r="M130" t="str">
        <f t="shared" si="19"/>
        <v>Mid</v>
      </c>
      <c r="N130" t="str">
        <f t="shared" si="9"/>
        <v>M|Category C</v>
      </c>
      <c r="O130" t="str">
        <f t="shared" si="10"/>
        <v>Yes</v>
      </c>
      <c r="P130" t="str">
        <f t="shared" si="11"/>
        <v>Yes</v>
      </c>
    </row>
    <row r="131" spans="1:16">
      <c r="A131" t="s">
        <v>163</v>
      </c>
      <c r="B131" t="s">
        <v>23</v>
      </c>
      <c r="C131">
        <v>21</v>
      </c>
      <c r="D131" t="s">
        <v>12</v>
      </c>
      <c r="E131" t="s">
        <v>20</v>
      </c>
      <c r="F131" t="s">
        <v>24</v>
      </c>
      <c r="G131" s="2">
        <v>385000</v>
      </c>
      <c r="H131" s="3">
        <v>0</v>
      </c>
      <c r="I131" s="3">
        <v>10</v>
      </c>
      <c r="J131" t="s">
        <v>15</v>
      </c>
      <c r="K131" s="8" t="str">
        <f t="shared" ref="K131:K157" si="20">IF(B131="Male","M",IF(B131="Female","F",IF(B131="Prefer Not to Say","Undisclosed","Other")))</f>
        <v>F</v>
      </c>
      <c r="L131" t="str">
        <f t="shared" si="18"/>
        <v>&lt;25</v>
      </c>
      <c r="M131" t="str">
        <f t="shared" si="19"/>
        <v>Entry</v>
      </c>
      <c r="N131" t="str">
        <f t="shared" ref="N131:N194" si="21">K131&amp;"|"&amp;D131</f>
        <v>F|Category C</v>
      </c>
      <c r="O131" t="str">
        <f t="shared" ref="O131:O194" si="22">IF(OR(M131="Mid",M131="Senior",M131="Leadership"),"Yes","No")</f>
        <v>No</v>
      </c>
      <c r="P131" t="str">
        <f t="shared" ref="P131:P194" si="23">IF(I131&gt;10,"Yes","No")</f>
        <v>No</v>
      </c>
    </row>
    <row r="132" spans="1:16">
      <c r="A132" t="s">
        <v>164</v>
      </c>
      <c r="B132" t="s">
        <v>23</v>
      </c>
      <c r="C132">
        <v>31</v>
      </c>
      <c r="D132" t="s">
        <v>17</v>
      </c>
      <c r="E132" t="s">
        <v>47</v>
      </c>
      <c r="F132" t="s">
        <v>21</v>
      </c>
      <c r="G132" s="2">
        <v>555000</v>
      </c>
      <c r="H132" s="3">
        <v>0</v>
      </c>
      <c r="I132" s="3">
        <v>29</v>
      </c>
      <c r="J132" t="s">
        <v>15</v>
      </c>
      <c r="K132" s="8" t="str">
        <f t="shared" si="20"/>
        <v>F</v>
      </c>
      <c r="L132" t="str">
        <f t="shared" si="18"/>
        <v>25-34</v>
      </c>
      <c r="M132" t="str">
        <f t="shared" si="19"/>
        <v>Entry</v>
      </c>
      <c r="N132" t="str">
        <f t="shared" si="21"/>
        <v>F|Category A</v>
      </c>
      <c r="O132" t="str">
        <f t="shared" si="22"/>
        <v>No</v>
      </c>
      <c r="P132" t="str">
        <f t="shared" si="23"/>
        <v>Yes</v>
      </c>
    </row>
    <row r="133" spans="1:16">
      <c r="A133" t="s">
        <v>165</v>
      </c>
      <c r="B133" t="s">
        <v>23</v>
      </c>
      <c r="C133">
        <v>30</v>
      </c>
      <c r="D133" t="s">
        <v>28</v>
      </c>
      <c r="E133" t="s">
        <v>20</v>
      </c>
      <c r="F133" t="s">
        <v>14</v>
      </c>
      <c r="G133" s="2">
        <v>815000</v>
      </c>
      <c r="H133" s="3">
        <v>0</v>
      </c>
      <c r="I133" s="3">
        <v>44</v>
      </c>
      <c r="J133" t="s">
        <v>15</v>
      </c>
      <c r="K133" s="8" t="str">
        <f t="shared" si="20"/>
        <v>F</v>
      </c>
      <c r="L133" t="str">
        <f t="shared" si="18"/>
        <v>25-34</v>
      </c>
      <c r="M133" t="str">
        <f t="shared" si="19"/>
        <v>Mid</v>
      </c>
      <c r="N133" t="str">
        <f t="shared" si="21"/>
        <v>F|Category B</v>
      </c>
      <c r="O133" t="str">
        <f t="shared" si="22"/>
        <v>Yes</v>
      </c>
      <c r="P133" t="str">
        <f t="shared" si="23"/>
        <v>Yes</v>
      </c>
    </row>
    <row r="134" spans="1:16">
      <c r="A134" t="s">
        <v>166</v>
      </c>
      <c r="B134" t="s">
        <v>23</v>
      </c>
      <c r="C134">
        <v>36</v>
      </c>
      <c r="D134" t="s">
        <v>17</v>
      </c>
      <c r="E134" t="s">
        <v>13</v>
      </c>
      <c r="F134" t="s">
        <v>34</v>
      </c>
      <c r="G134" s="2">
        <v>1060000</v>
      </c>
      <c r="H134" s="3">
        <v>1</v>
      </c>
      <c r="I134" s="3">
        <v>50</v>
      </c>
      <c r="J134" t="s">
        <v>15</v>
      </c>
      <c r="K134" s="8" t="str">
        <f t="shared" si="20"/>
        <v>F</v>
      </c>
      <c r="L134" t="str">
        <f t="shared" si="18"/>
        <v>35-44</v>
      </c>
      <c r="M134" t="str">
        <f t="shared" si="19"/>
        <v>Senior</v>
      </c>
      <c r="N134" t="str">
        <f t="shared" si="21"/>
        <v>F|Category A</v>
      </c>
      <c r="O134" t="str">
        <f t="shared" si="22"/>
        <v>Yes</v>
      </c>
      <c r="P134" t="str">
        <f t="shared" si="23"/>
        <v>Yes</v>
      </c>
    </row>
    <row r="135" spans="1:16">
      <c r="A135" t="s">
        <v>167</v>
      </c>
      <c r="B135" t="s">
        <v>23</v>
      </c>
      <c r="C135">
        <v>36</v>
      </c>
      <c r="D135" t="s">
        <v>12</v>
      </c>
      <c r="E135" t="s">
        <v>18</v>
      </c>
      <c r="F135" t="s">
        <v>34</v>
      </c>
      <c r="G135" s="2">
        <v>1035000</v>
      </c>
      <c r="H135" s="3">
        <v>1</v>
      </c>
      <c r="I135" s="3">
        <v>57</v>
      </c>
      <c r="J135" t="s">
        <v>29</v>
      </c>
      <c r="K135" s="8" t="str">
        <f t="shared" si="20"/>
        <v>F</v>
      </c>
      <c r="L135" t="str">
        <f t="shared" si="18"/>
        <v>35-44</v>
      </c>
      <c r="M135" t="str">
        <f t="shared" si="19"/>
        <v>Senior</v>
      </c>
      <c r="N135" t="str">
        <f t="shared" si="21"/>
        <v>F|Category C</v>
      </c>
      <c r="O135" t="str">
        <f t="shared" si="22"/>
        <v>Yes</v>
      </c>
      <c r="P135" t="str">
        <f t="shared" si="23"/>
        <v>Yes</v>
      </c>
    </row>
    <row r="136" spans="1:16">
      <c r="A136" t="s">
        <v>168</v>
      </c>
      <c r="B136" t="s">
        <v>11</v>
      </c>
      <c r="C136">
        <v>29</v>
      </c>
      <c r="D136" t="s">
        <v>28</v>
      </c>
      <c r="E136" t="s">
        <v>31</v>
      </c>
      <c r="F136" t="s">
        <v>21</v>
      </c>
      <c r="G136" s="2">
        <v>425000</v>
      </c>
      <c r="H136" s="3">
        <v>1</v>
      </c>
      <c r="I136" s="3">
        <v>29</v>
      </c>
      <c r="J136" t="s">
        <v>15</v>
      </c>
      <c r="K136" s="8" t="str">
        <f t="shared" si="20"/>
        <v>M</v>
      </c>
      <c r="L136" t="str">
        <f t="shared" si="18"/>
        <v>25-34</v>
      </c>
      <c r="M136" t="str">
        <f t="shared" si="19"/>
        <v>Entry</v>
      </c>
      <c r="N136" t="str">
        <f t="shared" si="21"/>
        <v>M|Category B</v>
      </c>
      <c r="O136" t="str">
        <f t="shared" si="22"/>
        <v>No</v>
      </c>
      <c r="P136" t="str">
        <f t="shared" si="23"/>
        <v>Yes</v>
      </c>
    </row>
    <row r="137" spans="1:16">
      <c r="A137" t="s">
        <v>169</v>
      </c>
      <c r="B137" t="s">
        <v>23</v>
      </c>
      <c r="C137">
        <v>34</v>
      </c>
      <c r="D137" t="s">
        <v>12</v>
      </c>
      <c r="E137" t="s">
        <v>18</v>
      </c>
      <c r="F137" t="s">
        <v>34</v>
      </c>
      <c r="G137" s="2">
        <v>1015000</v>
      </c>
      <c r="H137" s="3">
        <v>0</v>
      </c>
      <c r="I137" s="3">
        <v>55</v>
      </c>
      <c r="J137" t="s">
        <v>15</v>
      </c>
      <c r="K137" s="8" t="str">
        <f t="shared" si="20"/>
        <v>F</v>
      </c>
      <c r="L137" t="str">
        <f t="shared" si="18"/>
        <v>25-34</v>
      </c>
      <c r="M137" t="str">
        <f t="shared" si="19"/>
        <v>Senior</v>
      </c>
      <c r="N137" t="str">
        <f t="shared" si="21"/>
        <v>F|Category C</v>
      </c>
      <c r="O137" t="str">
        <f t="shared" si="22"/>
        <v>Yes</v>
      </c>
      <c r="P137" t="str">
        <f t="shared" si="23"/>
        <v>Yes</v>
      </c>
    </row>
    <row r="138" spans="1:16">
      <c r="A138" t="s">
        <v>170</v>
      </c>
      <c r="B138" t="s">
        <v>11</v>
      </c>
      <c r="C138">
        <v>43</v>
      </c>
      <c r="D138" t="s">
        <v>12</v>
      </c>
      <c r="E138" t="s">
        <v>20</v>
      </c>
      <c r="F138" t="s">
        <v>34</v>
      </c>
      <c r="G138" s="2">
        <v>1485000</v>
      </c>
      <c r="H138" s="3">
        <v>0</v>
      </c>
      <c r="I138" s="3">
        <v>37</v>
      </c>
      <c r="J138" t="s">
        <v>15</v>
      </c>
      <c r="K138" s="8" t="str">
        <f t="shared" si="20"/>
        <v>M</v>
      </c>
      <c r="L138" t="str">
        <f t="shared" si="18"/>
        <v>35-44</v>
      </c>
      <c r="M138" t="str">
        <f t="shared" si="19"/>
        <v>Senior</v>
      </c>
      <c r="N138" t="str">
        <f t="shared" si="21"/>
        <v>M|Category C</v>
      </c>
      <c r="O138" t="str">
        <f t="shared" si="22"/>
        <v>Yes</v>
      </c>
      <c r="P138" t="str">
        <f t="shared" si="23"/>
        <v>Yes</v>
      </c>
    </row>
    <row r="139" spans="1:16">
      <c r="A139" t="s">
        <v>171</v>
      </c>
      <c r="B139" t="s">
        <v>23</v>
      </c>
      <c r="C139">
        <v>25</v>
      </c>
      <c r="D139" t="s">
        <v>66</v>
      </c>
      <c r="E139" t="s">
        <v>13</v>
      </c>
      <c r="F139" t="s">
        <v>21</v>
      </c>
      <c r="G139" s="2">
        <v>475000</v>
      </c>
      <c r="H139" s="3">
        <v>0</v>
      </c>
      <c r="I139" s="3">
        <v>22</v>
      </c>
      <c r="J139" t="s">
        <v>15</v>
      </c>
      <c r="K139" s="8" t="str">
        <f t="shared" si="20"/>
        <v>F</v>
      </c>
      <c r="L139" t="str">
        <f t="shared" si="18"/>
        <v>25-34</v>
      </c>
      <c r="M139" t="str">
        <f t="shared" si="19"/>
        <v>Entry</v>
      </c>
      <c r="N139" t="str">
        <f t="shared" si="21"/>
        <v>F|Prefer Not to Say</v>
      </c>
      <c r="O139" t="str">
        <f t="shared" si="22"/>
        <v>No</v>
      </c>
      <c r="P139" t="str">
        <f t="shared" si="23"/>
        <v>Yes</v>
      </c>
    </row>
    <row r="140" spans="1:16">
      <c r="A140" t="s">
        <v>172</v>
      </c>
      <c r="B140" t="s">
        <v>11</v>
      </c>
      <c r="C140">
        <v>34</v>
      </c>
      <c r="D140" t="s">
        <v>28</v>
      </c>
      <c r="E140" t="s">
        <v>13</v>
      </c>
      <c r="F140" t="s">
        <v>34</v>
      </c>
      <c r="G140" s="2">
        <v>1295000</v>
      </c>
      <c r="H140" s="3">
        <v>1</v>
      </c>
      <c r="I140" s="3">
        <v>41</v>
      </c>
      <c r="J140" t="s">
        <v>15</v>
      </c>
      <c r="K140" s="8" t="str">
        <f t="shared" si="20"/>
        <v>M</v>
      </c>
      <c r="L140" t="str">
        <f t="shared" si="18"/>
        <v>25-34</v>
      </c>
      <c r="M140" t="str">
        <f t="shared" si="19"/>
        <v>Senior</v>
      </c>
      <c r="N140" t="str">
        <f t="shared" si="21"/>
        <v>M|Category B</v>
      </c>
      <c r="O140" t="str">
        <f t="shared" si="22"/>
        <v>Yes</v>
      </c>
      <c r="P140" t="str">
        <f t="shared" si="23"/>
        <v>Yes</v>
      </c>
    </row>
    <row r="141" spans="1:16">
      <c r="A141" t="s">
        <v>173</v>
      </c>
      <c r="B141" t="s">
        <v>11</v>
      </c>
      <c r="C141">
        <v>39</v>
      </c>
      <c r="D141" t="s">
        <v>12</v>
      </c>
      <c r="E141" t="s">
        <v>51</v>
      </c>
      <c r="F141" t="s">
        <v>43</v>
      </c>
      <c r="G141" s="2">
        <v>1465000</v>
      </c>
      <c r="H141" s="3">
        <v>2</v>
      </c>
      <c r="I141" s="3">
        <v>28</v>
      </c>
      <c r="J141" t="s">
        <v>15</v>
      </c>
      <c r="K141" s="8" t="str">
        <f t="shared" si="20"/>
        <v>M</v>
      </c>
      <c r="L141" t="str">
        <f t="shared" si="18"/>
        <v>35-44</v>
      </c>
      <c r="M141" t="str">
        <f t="shared" si="19"/>
        <v>Leadership</v>
      </c>
      <c r="N141" t="str">
        <f t="shared" si="21"/>
        <v>M|Category C</v>
      </c>
      <c r="O141" t="str">
        <f t="shared" si="22"/>
        <v>Yes</v>
      </c>
      <c r="P141" t="str">
        <f t="shared" si="23"/>
        <v>Yes</v>
      </c>
    </row>
    <row r="142" spans="1:16">
      <c r="A142" t="s">
        <v>174</v>
      </c>
      <c r="B142" t="s">
        <v>11</v>
      </c>
      <c r="C142">
        <v>33</v>
      </c>
      <c r="D142" t="s">
        <v>28</v>
      </c>
      <c r="E142" t="s">
        <v>51</v>
      </c>
      <c r="F142" t="s">
        <v>14</v>
      </c>
      <c r="G142" s="2">
        <v>745000</v>
      </c>
      <c r="H142" s="3">
        <v>0</v>
      </c>
      <c r="I142" s="3">
        <v>47</v>
      </c>
      <c r="J142" t="s">
        <v>15</v>
      </c>
      <c r="K142" s="8" t="str">
        <f t="shared" si="20"/>
        <v>M</v>
      </c>
      <c r="L142" t="str">
        <f t="shared" si="18"/>
        <v>25-34</v>
      </c>
      <c r="M142" t="str">
        <f t="shared" si="19"/>
        <v>Mid</v>
      </c>
      <c r="N142" t="str">
        <f t="shared" si="21"/>
        <v>M|Category B</v>
      </c>
      <c r="O142" t="str">
        <f t="shared" si="22"/>
        <v>Yes</v>
      </c>
      <c r="P142" t="str">
        <f t="shared" si="23"/>
        <v>Yes</v>
      </c>
    </row>
    <row r="143" spans="1:16">
      <c r="A143" t="s">
        <v>175</v>
      </c>
      <c r="B143" t="s">
        <v>11</v>
      </c>
      <c r="C143">
        <v>31</v>
      </c>
      <c r="D143" t="s">
        <v>17</v>
      </c>
      <c r="E143" t="s">
        <v>31</v>
      </c>
      <c r="F143" t="s">
        <v>14</v>
      </c>
      <c r="G143" s="2">
        <v>625000</v>
      </c>
      <c r="H143" s="3">
        <v>0</v>
      </c>
      <c r="I143" s="3">
        <v>18</v>
      </c>
      <c r="J143" t="s">
        <v>15</v>
      </c>
      <c r="K143" s="8" t="str">
        <f t="shared" si="20"/>
        <v>M</v>
      </c>
      <c r="L143" t="str">
        <f>IF(C143="","Missing",IF(C143&lt;25,"&lt;25",IF(C143&lt;35,"25-34",IF(C143&lt;45,"35-44",IF(C143&lt;55,"45-54","55+")))))</f>
        <v>25-34</v>
      </c>
      <c r="M143" t="str">
        <f t="shared" si="19"/>
        <v>Mid</v>
      </c>
      <c r="N143" t="str">
        <f t="shared" si="21"/>
        <v>M|Category A</v>
      </c>
      <c r="O143" t="str">
        <f t="shared" si="22"/>
        <v>Yes</v>
      </c>
      <c r="P143" t="str">
        <f t="shared" si="23"/>
        <v>Yes</v>
      </c>
    </row>
    <row r="144" spans="1:16">
      <c r="A144" t="s">
        <v>176</v>
      </c>
      <c r="B144" t="s">
        <v>11</v>
      </c>
      <c r="C144">
        <v>35</v>
      </c>
      <c r="D144" t="s">
        <v>28</v>
      </c>
      <c r="E144" t="s">
        <v>47</v>
      </c>
      <c r="F144" t="s">
        <v>34</v>
      </c>
      <c r="G144" s="2">
        <v>1245000</v>
      </c>
      <c r="H144" s="3">
        <v>0</v>
      </c>
      <c r="I144" s="3">
        <v>51</v>
      </c>
      <c r="J144" t="s">
        <v>15</v>
      </c>
      <c r="K144" s="8" t="str">
        <f t="shared" si="20"/>
        <v>M</v>
      </c>
      <c r="L144" t="str">
        <f t="shared" ref="L144:L168" si="24">IF(C144="","Missing",IF(C144&lt;25,"&lt;25",IF(C144&lt;35,"25-34",IF(C144&lt;45,"35-44",IF(C144&lt;55,"45-54","55+")))))</f>
        <v>35-44</v>
      </c>
      <c r="M144" t="str">
        <f t="shared" si="19"/>
        <v>Senior</v>
      </c>
      <c r="N144" t="str">
        <f t="shared" si="21"/>
        <v>M|Category B</v>
      </c>
      <c r="O144" t="str">
        <f t="shared" si="22"/>
        <v>Yes</v>
      </c>
      <c r="P144" t="str">
        <f t="shared" si="23"/>
        <v>Yes</v>
      </c>
    </row>
    <row r="145" spans="1:16">
      <c r="A145" t="s">
        <v>177</v>
      </c>
      <c r="B145" t="s">
        <v>11</v>
      </c>
      <c r="C145">
        <v>37</v>
      </c>
      <c r="D145" t="s">
        <v>17</v>
      </c>
      <c r="E145" t="s">
        <v>20</v>
      </c>
      <c r="F145" t="s">
        <v>14</v>
      </c>
      <c r="G145" s="2">
        <v>785000</v>
      </c>
      <c r="H145" s="3">
        <v>0</v>
      </c>
      <c r="I145" s="3">
        <v>17</v>
      </c>
      <c r="J145" t="s">
        <v>15</v>
      </c>
      <c r="K145" s="8" t="str">
        <f t="shared" si="20"/>
        <v>M</v>
      </c>
      <c r="L145" t="str">
        <f t="shared" si="24"/>
        <v>35-44</v>
      </c>
      <c r="M145" t="str">
        <f t="shared" si="19"/>
        <v>Mid</v>
      </c>
      <c r="N145" t="str">
        <f t="shared" si="21"/>
        <v>M|Category A</v>
      </c>
      <c r="O145" t="str">
        <f t="shared" si="22"/>
        <v>Yes</v>
      </c>
      <c r="P145" t="str">
        <f t="shared" si="23"/>
        <v>Yes</v>
      </c>
    </row>
    <row r="146" spans="1:16">
      <c r="A146" t="s">
        <v>178</v>
      </c>
      <c r="B146" t="s">
        <v>11</v>
      </c>
      <c r="C146">
        <v>36</v>
      </c>
      <c r="D146" t="s">
        <v>58</v>
      </c>
      <c r="E146" t="s">
        <v>31</v>
      </c>
      <c r="F146" t="s">
        <v>14</v>
      </c>
      <c r="G146" s="2">
        <v>810000</v>
      </c>
      <c r="H146" s="3">
        <v>1</v>
      </c>
      <c r="I146" s="3">
        <v>41</v>
      </c>
      <c r="J146" t="s">
        <v>15</v>
      </c>
      <c r="K146" s="8" t="str">
        <f t="shared" si="20"/>
        <v>M</v>
      </c>
      <c r="L146" t="str">
        <f t="shared" si="24"/>
        <v>35-44</v>
      </c>
      <c r="M146" t="str">
        <f t="shared" si="19"/>
        <v>Mid</v>
      </c>
      <c r="N146" t="str">
        <f t="shared" si="21"/>
        <v>M|Category D</v>
      </c>
      <c r="O146" t="str">
        <f t="shared" si="22"/>
        <v>Yes</v>
      </c>
      <c r="P146" t="str">
        <f t="shared" si="23"/>
        <v>Yes</v>
      </c>
    </row>
    <row r="147" spans="1:16">
      <c r="A147" t="s">
        <v>179</v>
      </c>
      <c r="B147" t="s">
        <v>23</v>
      </c>
      <c r="C147">
        <v>40</v>
      </c>
      <c r="D147" t="s">
        <v>17</v>
      </c>
      <c r="E147" t="s">
        <v>18</v>
      </c>
      <c r="F147" t="s">
        <v>34</v>
      </c>
      <c r="G147" s="2">
        <v>1380000</v>
      </c>
      <c r="H147" s="3">
        <v>2</v>
      </c>
      <c r="I147" s="3">
        <v>43</v>
      </c>
      <c r="J147" t="s">
        <v>15</v>
      </c>
      <c r="K147" s="8" t="str">
        <f t="shared" si="20"/>
        <v>F</v>
      </c>
      <c r="L147" t="str">
        <f t="shared" si="24"/>
        <v>35-44</v>
      </c>
      <c r="M147" t="str">
        <f t="shared" si="19"/>
        <v>Senior</v>
      </c>
      <c r="N147" t="str">
        <f t="shared" si="21"/>
        <v>F|Category A</v>
      </c>
      <c r="O147" t="str">
        <f t="shared" si="22"/>
        <v>Yes</v>
      </c>
      <c r="P147" t="str">
        <f t="shared" si="23"/>
        <v>Yes</v>
      </c>
    </row>
    <row r="148" spans="1:16">
      <c r="A148" t="s">
        <v>180</v>
      </c>
      <c r="B148" t="s">
        <v>11</v>
      </c>
      <c r="C148">
        <v>33</v>
      </c>
      <c r="D148" t="s">
        <v>28</v>
      </c>
      <c r="E148" t="s">
        <v>13</v>
      </c>
      <c r="F148" t="s">
        <v>14</v>
      </c>
      <c r="G148" s="2">
        <v>765000</v>
      </c>
      <c r="H148" s="3">
        <v>1</v>
      </c>
      <c r="I148" s="3">
        <v>29</v>
      </c>
      <c r="J148" t="s">
        <v>15</v>
      </c>
      <c r="K148" s="8" t="str">
        <f t="shared" si="20"/>
        <v>M</v>
      </c>
      <c r="L148" t="str">
        <f t="shared" si="24"/>
        <v>25-34</v>
      </c>
      <c r="M148" t="str">
        <f t="shared" si="19"/>
        <v>Mid</v>
      </c>
      <c r="N148" t="str">
        <f t="shared" si="21"/>
        <v>M|Category B</v>
      </c>
      <c r="O148" t="str">
        <f t="shared" si="22"/>
        <v>Yes</v>
      </c>
      <c r="P148" t="str">
        <f t="shared" si="23"/>
        <v>Yes</v>
      </c>
    </row>
    <row r="149" spans="1:16">
      <c r="A149" t="s">
        <v>181</v>
      </c>
      <c r="B149" t="s">
        <v>11</v>
      </c>
      <c r="C149">
        <v>30</v>
      </c>
      <c r="D149" t="s">
        <v>17</v>
      </c>
      <c r="E149" t="s">
        <v>31</v>
      </c>
      <c r="F149" t="s">
        <v>14</v>
      </c>
      <c r="G149" s="2">
        <v>785000</v>
      </c>
      <c r="H149" s="3">
        <v>0</v>
      </c>
      <c r="I149" s="3">
        <v>24</v>
      </c>
      <c r="J149" t="s">
        <v>15</v>
      </c>
      <c r="K149" s="8" t="str">
        <f t="shared" si="20"/>
        <v>M</v>
      </c>
      <c r="L149" t="str">
        <f t="shared" si="24"/>
        <v>25-34</v>
      </c>
      <c r="M149" t="str">
        <f t="shared" si="19"/>
        <v>Mid</v>
      </c>
      <c r="N149" t="str">
        <f t="shared" si="21"/>
        <v>M|Category A</v>
      </c>
      <c r="O149" t="str">
        <f t="shared" si="22"/>
        <v>Yes</v>
      </c>
      <c r="P149" t="str">
        <f t="shared" si="23"/>
        <v>Yes</v>
      </c>
    </row>
    <row r="150" spans="1:16">
      <c r="A150" t="s">
        <v>182</v>
      </c>
      <c r="B150" t="s">
        <v>23</v>
      </c>
      <c r="C150">
        <v>41</v>
      </c>
      <c r="D150" t="s">
        <v>12</v>
      </c>
      <c r="E150" t="s">
        <v>51</v>
      </c>
      <c r="F150" t="s">
        <v>34</v>
      </c>
      <c r="G150" s="2">
        <v>980000</v>
      </c>
      <c r="H150" s="3">
        <v>0</v>
      </c>
      <c r="I150" s="3">
        <v>60</v>
      </c>
      <c r="J150" t="s">
        <v>15</v>
      </c>
      <c r="K150" s="8" t="str">
        <f t="shared" si="20"/>
        <v>F</v>
      </c>
      <c r="L150" t="str">
        <f t="shared" si="24"/>
        <v>35-44</v>
      </c>
      <c r="M150" t="str">
        <f t="shared" si="19"/>
        <v>Senior</v>
      </c>
      <c r="N150" t="str">
        <f t="shared" si="21"/>
        <v>F|Category C</v>
      </c>
      <c r="O150" t="str">
        <f t="shared" si="22"/>
        <v>Yes</v>
      </c>
      <c r="P150" t="str">
        <f t="shared" si="23"/>
        <v>Yes</v>
      </c>
    </row>
    <row r="151" spans="1:16">
      <c r="A151" t="s">
        <v>183</v>
      </c>
      <c r="B151" t="s">
        <v>66</v>
      </c>
      <c r="C151">
        <v>45</v>
      </c>
      <c r="D151" t="s">
        <v>28</v>
      </c>
      <c r="E151" t="s">
        <v>51</v>
      </c>
      <c r="F151" t="s">
        <v>34</v>
      </c>
      <c r="G151" s="2">
        <v>1490000</v>
      </c>
      <c r="H151" s="3">
        <v>1</v>
      </c>
      <c r="I151" s="3">
        <v>59</v>
      </c>
      <c r="J151" t="s">
        <v>15</v>
      </c>
      <c r="K151" s="8" t="str">
        <f t="shared" si="20"/>
        <v>Undisclosed</v>
      </c>
      <c r="L151" t="str">
        <f t="shared" si="24"/>
        <v>45-54</v>
      </c>
      <c r="M151" t="str">
        <f t="shared" si="19"/>
        <v>Senior</v>
      </c>
      <c r="N151" t="str">
        <f t="shared" si="21"/>
        <v>Undisclosed|Category B</v>
      </c>
      <c r="O151" t="str">
        <f t="shared" si="22"/>
        <v>Yes</v>
      </c>
      <c r="P151" t="str">
        <f t="shared" si="23"/>
        <v>Yes</v>
      </c>
    </row>
    <row r="152" spans="1:16">
      <c r="A152" t="s">
        <v>184</v>
      </c>
      <c r="B152" t="s">
        <v>11</v>
      </c>
      <c r="C152">
        <v>24</v>
      </c>
      <c r="D152" t="s">
        <v>17</v>
      </c>
      <c r="E152" t="s">
        <v>51</v>
      </c>
      <c r="F152" t="s">
        <v>24</v>
      </c>
      <c r="G152" s="2">
        <v>465000</v>
      </c>
      <c r="H152" s="3">
        <v>0</v>
      </c>
      <c r="I152" s="3">
        <v>16</v>
      </c>
      <c r="J152" t="s">
        <v>15</v>
      </c>
      <c r="K152" s="8" t="str">
        <f t="shared" si="20"/>
        <v>M</v>
      </c>
      <c r="L152" t="str">
        <f t="shared" si="24"/>
        <v>&lt;25</v>
      </c>
      <c r="M152" t="str">
        <f t="shared" si="19"/>
        <v>Entry</v>
      </c>
      <c r="N152" t="str">
        <f t="shared" si="21"/>
        <v>M|Category A</v>
      </c>
      <c r="O152" t="str">
        <f t="shared" si="22"/>
        <v>No</v>
      </c>
      <c r="P152" t="str">
        <f t="shared" si="23"/>
        <v>Yes</v>
      </c>
    </row>
    <row r="153" spans="1:16">
      <c r="A153" t="s">
        <v>185</v>
      </c>
      <c r="B153" t="s">
        <v>66</v>
      </c>
      <c r="C153">
        <v>27</v>
      </c>
      <c r="D153" t="s">
        <v>17</v>
      </c>
      <c r="E153" t="s">
        <v>18</v>
      </c>
      <c r="F153" t="s">
        <v>14</v>
      </c>
      <c r="G153" s="2">
        <v>795000</v>
      </c>
      <c r="H153" s="3">
        <v>1</v>
      </c>
      <c r="I153" s="3">
        <v>19</v>
      </c>
      <c r="J153" t="s">
        <v>15</v>
      </c>
      <c r="K153" s="8" t="str">
        <f t="shared" si="20"/>
        <v>Undisclosed</v>
      </c>
      <c r="L153" t="str">
        <f t="shared" si="24"/>
        <v>25-34</v>
      </c>
      <c r="M153" t="str">
        <f t="shared" si="19"/>
        <v>Mid</v>
      </c>
      <c r="N153" t="str">
        <f t="shared" si="21"/>
        <v>Undisclosed|Category A</v>
      </c>
      <c r="O153" t="str">
        <f t="shared" si="22"/>
        <v>Yes</v>
      </c>
      <c r="P153" t="str">
        <f t="shared" si="23"/>
        <v>Yes</v>
      </c>
    </row>
    <row r="154" spans="1:16">
      <c r="A154" t="s">
        <v>186</v>
      </c>
      <c r="B154" t="s">
        <v>23</v>
      </c>
      <c r="C154">
        <v>35</v>
      </c>
      <c r="D154" t="s">
        <v>17</v>
      </c>
      <c r="E154" t="s">
        <v>51</v>
      </c>
      <c r="F154" t="s">
        <v>14</v>
      </c>
      <c r="G154" s="2">
        <v>985000</v>
      </c>
      <c r="H154" s="3">
        <v>2</v>
      </c>
      <c r="I154" s="3">
        <v>43</v>
      </c>
      <c r="J154" t="s">
        <v>29</v>
      </c>
      <c r="K154" s="8" t="str">
        <f t="shared" si="20"/>
        <v>F</v>
      </c>
      <c r="L154" t="str">
        <f t="shared" si="24"/>
        <v>35-44</v>
      </c>
      <c r="M154" t="str">
        <f t="shared" si="19"/>
        <v>Mid</v>
      </c>
      <c r="N154" t="str">
        <f t="shared" si="21"/>
        <v>F|Category A</v>
      </c>
      <c r="O154" t="str">
        <f t="shared" si="22"/>
        <v>Yes</v>
      </c>
      <c r="P154" t="str">
        <f t="shared" si="23"/>
        <v>Yes</v>
      </c>
    </row>
    <row r="155" spans="1:16">
      <c r="A155" t="s">
        <v>187</v>
      </c>
      <c r="B155" t="s">
        <v>11</v>
      </c>
      <c r="C155">
        <v>27</v>
      </c>
      <c r="D155" t="s">
        <v>12</v>
      </c>
      <c r="E155" t="s">
        <v>42</v>
      </c>
      <c r="F155" t="s">
        <v>14</v>
      </c>
      <c r="G155" s="2">
        <v>835000</v>
      </c>
      <c r="H155" s="3">
        <v>0</v>
      </c>
      <c r="I155" s="3">
        <v>36</v>
      </c>
      <c r="J155" t="s">
        <v>29</v>
      </c>
      <c r="K155" s="8" t="str">
        <f t="shared" si="20"/>
        <v>M</v>
      </c>
      <c r="L155" t="str">
        <f t="shared" si="24"/>
        <v>25-34</v>
      </c>
      <c r="M155" t="str">
        <f t="shared" si="19"/>
        <v>Mid</v>
      </c>
      <c r="N155" t="str">
        <f t="shared" si="21"/>
        <v>M|Category C</v>
      </c>
      <c r="O155" t="str">
        <f t="shared" si="22"/>
        <v>Yes</v>
      </c>
      <c r="P155" t="str">
        <f t="shared" si="23"/>
        <v>Yes</v>
      </c>
    </row>
    <row r="156" spans="1:16">
      <c r="A156" t="s">
        <v>188</v>
      </c>
      <c r="B156" t="s">
        <v>11</v>
      </c>
      <c r="C156">
        <v>30</v>
      </c>
      <c r="D156" t="s">
        <v>28</v>
      </c>
      <c r="E156" t="s">
        <v>18</v>
      </c>
      <c r="F156" t="s">
        <v>21</v>
      </c>
      <c r="G156" s="2">
        <v>630000</v>
      </c>
      <c r="H156" s="3">
        <v>0</v>
      </c>
      <c r="I156" s="3">
        <v>29</v>
      </c>
      <c r="J156" t="s">
        <v>15</v>
      </c>
      <c r="K156" s="8" t="str">
        <f>IF(B156="Male","M",IF(B156="Female","F",IF(B156="Prefer Not to Say","Undisclosed","Other")))</f>
        <v>M</v>
      </c>
      <c r="L156" t="str">
        <f t="shared" si="24"/>
        <v>25-34</v>
      </c>
      <c r="M156" t="str">
        <f t="shared" si="19"/>
        <v>Entry</v>
      </c>
      <c r="N156" t="str">
        <f t="shared" si="21"/>
        <v>M|Category B</v>
      </c>
      <c r="O156" t="str">
        <f t="shared" si="22"/>
        <v>No</v>
      </c>
      <c r="P156" t="str">
        <f t="shared" si="23"/>
        <v>Yes</v>
      </c>
    </row>
    <row r="157" spans="1:16">
      <c r="A157" t="s">
        <v>189</v>
      </c>
      <c r="B157" t="s">
        <v>11</v>
      </c>
      <c r="C157">
        <v>41</v>
      </c>
      <c r="D157" t="s">
        <v>12</v>
      </c>
      <c r="E157" t="s">
        <v>36</v>
      </c>
      <c r="F157" t="s">
        <v>34</v>
      </c>
      <c r="G157" s="2">
        <v>955000</v>
      </c>
      <c r="H157" s="3">
        <v>2</v>
      </c>
      <c r="I157" s="3">
        <v>41</v>
      </c>
      <c r="J157" t="s">
        <v>15</v>
      </c>
      <c r="K157" s="8" t="str">
        <f t="shared" si="20"/>
        <v>M</v>
      </c>
      <c r="L157" t="str">
        <f t="shared" si="24"/>
        <v>35-44</v>
      </c>
      <c r="M157" t="str">
        <f t="shared" si="19"/>
        <v>Senior</v>
      </c>
      <c r="N157" t="str">
        <f t="shared" si="21"/>
        <v>M|Category C</v>
      </c>
      <c r="O157" t="str">
        <f t="shared" si="22"/>
        <v>Yes</v>
      </c>
      <c r="P157" t="str">
        <f t="shared" si="23"/>
        <v>Yes</v>
      </c>
    </row>
    <row r="158" spans="1:16">
      <c r="A158" t="s">
        <v>190</v>
      </c>
      <c r="B158" t="s">
        <v>11</v>
      </c>
      <c r="C158">
        <v>25</v>
      </c>
      <c r="D158" t="s">
        <v>58</v>
      </c>
      <c r="E158" t="s">
        <v>18</v>
      </c>
      <c r="F158" t="s">
        <v>21</v>
      </c>
      <c r="G158" s="2">
        <v>575000</v>
      </c>
      <c r="H158" s="3">
        <v>0</v>
      </c>
      <c r="I158" s="3">
        <v>31</v>
      </c>
      <c r="J158" t="s">
        <v>15</v>
      </c>
      <c r="K158" s="8" t="str">
        <f>IF(B158="Male","M",IF(B158="Female","F",IF(B158="Prefer Not to Say","Undisclosed","Other")))</f>
        <v>M</v>
      </c>
      <c r="L158" t="str">
        <f t="shared" si="24"/>
        <v>25-34</v>
      </c>
      <c r="M158" t="str">
        <f t="shared" si="19"/>
        <v>Entry</v>
      </c>
      <c r="N158" t="str">
        <f t="shared" si="21"/>
        <v>M|Category D</v>
      </c>
      <c r="O158" t="str">
        <f t="shared" si="22"/>
        <v>No</v>
      </c>
      <c r="P158" t="str">
        <f t="shared" si="23"/>
        <v>Yes</v>
      </c>
    </row>
    <row r="159" spans="1:16">
      <c r="A159" t="s">
        <v>191</v>
      </c>
      <c r="B159" t="s">
        <v>11</v>
      </c>
      <c r="C159">
        <v>26</v>
      </c>
      <c r="D159" t="s">
        <v>17</v>
      </c>
      <c r="E159" t="s">
        <v>13</v>
      </c>
      <c r="F159" t="s">
        <v>24</v>
      </c>
      <c r="G159" s="2">
        <v>320000</v>
      </c>
      <c r="H159" s="3">
        <v>0</v>
      </c>
      <c r="I159" s="3">
        <v>20</v>
      </c>
      <c r="J159" t="s">
        <v>15</v>
      </c>
      <c r="K159" s="8" t="str">
        <f t="shared" ref="K159:K182" si="25">IF(B159="Male","M",IF(B159="Female","F",IF(B159="Prefer Not to Say","Undisclosed","Other")))</f>
        <v>M</v>
      </c>
      <c r="L159" t="str">
        <f t="shared" si="24"/>
        <v>25-34</v>
      </c>
      <c r="M159" t="str">
        <f t="shared" si="19"/>
        <v>Entry</v>
      </c>
      <c r="N159" t="str">
        <f t="shared" si="21"/>
        <v>M|Category A</v>
      </c>
      <c r="O159" t="str">
        <f t="shared" si="22"/>
        <v>No</v>
      </c>
      <c r="P159" t="str">
        <f t="shared" si="23"/>
        <v>Yes</v>
      </c>
    </row>
    <row r="160" spans="1:16">
      <c r="A160" t="s">
        <v>192</v>
      </c>
      <c r="B160" t="s">
        <v>61</v>
      </c>
      <c r="C160">
        <v>33</v>
      </c>
      <c r="D160" t="s">
        <v>28</v>
      </c>
      <c r="E160" t="s">
        <v>51</v>
      </c>
      <c r="F160" t="s">
        <v>14</v>
      </c>
      <c r="G160" s="2">
        <v>865000</v>
      </c>
      <c r="H160" s="3">
        <v>0</v>
      </c>
      <c r="I160" s="3">
        <v>38</v>
      </c>
      <c r="J160" t="s">
        <v>15</v>
      </c>
      <c r="K160" s="8" t="str">
        <f t="shared" si="25"/>
        <v>Other</v>
      </c>
      <c r="L160" t="str">
        <f t="shared" si="24"/>
        <v>25-34</v>
      </c>
      <c r="M160" t="str">
        <f t="shared" si="19"/>
        <v>Mid</v>
      </c>
      <c r="N160" t="str">
        <f t="shared" si="21"/>
        <v>Other|Category B</v>
      </c>
      <c r="O160" t="str">
        <f t="shared" si="22"/>
        <v>Yes</v>
      </c>
      <c r="P160" t="str">
        <f t="shared" si="23"/>
        <v>Yes</v>
      </c>
    </row>
    <row r="161" spans="1:16">
      <c r="A161" t="s">
        <v>193</v>
      </c>
      <c r="B161" t="s">
        <v>23</v>
      </c>
      <c r="C161">
        <v>25</v>
      </c>
      <c r="D161" t="s">
        <v>28</v>
      </c>
      <c r="E161" t="s">
        <v>42</v>
      </c>
      <c r="F161" t="s">
        <v>21</v>
      </c>
      <c r="G161" s="2">
        <v>480000</v>
      </c>
      <c r="H161" s="3">
        <v>0</v>
      </c>
      <c r="I161" s="3">
        <v>37</v>
      </c>
      <c r="J161" t="s">
        <v>15</v>
      </c>
      <c r="K161" s="8" t="str">
        <f t="shared" si="25"/>
        <v>F</v>
      </c>
      <c r="L161" t="str">
        <f t="shared" si="24"/>
        <v>25-34</v>
      </c>
      <c r="M161" t="str">
        <f t="shared" si="19"/>
        <v>Entry</v>
      </c>
      <c r="N161" t="str">
        <f t="shared" si="21"/>
        <v>F|Category B</v>
      </c>
      <c r="O161" t="str">
        <f t="shared" si="22"/>
        <v>No</v>
      </c>
      <c r="P161" t="str">
        <f t="shared" si="23"/>
        <v>Yes</v>
      </c>
    </row>
    <row r="162" spans="1:16">
      <c r="A162" t="s">
        <v>194</v>
      </c>
      <c r="B162" t="s">
        <v>23</v>
      </c>
      <c r="C162">
        <v>45</v>
      </c>
      <c r="D162" t="s">
        <v>12</v>
      </c>
      <c r="E162" t="s">
        <v>31</v>
      </c>
      <c r="F162" t="s">
        <v>34</v>
      </c>
      <c r="G162" s="2">
        <v>1035000</v>
      </c>
      <c r="H162" s="3">
        <v>1</v>
      </c>
      <c r="I162" s="3">
        <v>29</v>
      </c>
      <c r="J162" t="s">
        <v>15</v>
      </c>
      <c r="K162" s="8" t="str">
        <f t="shared" si="25"/>
        <v>F</v>
      </c>
      <c r="L162" t="str">
        <f t="shared" si="24"/>
        <v>45-54</v>
      </c>
      <c r="M162" t="str">
        <f t="shared" si="19"/>
        <v>Senior</v>
      </c>
      <c r="N162" t="str">
        <f t="shared" si="21"/>
        <v>F|Category C</v>
      </c>
      <c r="O162" t="str">
        <f t="shared" si="22"/>
        <v>Yes</v>
      </c>
      <c r="P162" t="str">
        <f t="shared" si="23"/>
        <v>Yes</v>
      </c>
    </row>
    <row r="163" spans="1:16">
      <c r="A163" t="s">
        <v>195</v>
      </c>
      <c r="B163" t="s">
        <v>23</v>
      </c>
      <c r="C163">
        <v>31</v>
      </c>
      <c r="D163" t="s">
        <v>12</v>
      </c>
      <c r="E163" t="s">
        <v>51</v>
      </c>
      <c r="F163" t="s">
        <v>34</v>
      </c>
      <c r="G163" s="2">
        <v>1330000</v>
      </c>
      <c r="H163" s="3">
        <v>0</v>
      </c>
      <c r="I163" s="3">
        <v>35</v>
      </c>
      <c r="J163" t="s">
        <v>29</v>
      </c>
      <c r="K163" s="8" t="str">
        <f t="shared" si="25"/>
        <v>F</v>
      </c>
      <c r="L163" t="str">
        <f t="shared" si="24"/>
        <v>25-34</v>
      </c>
      <c r="M163" t="str">
        <f t="shared" si="19"/>
        <v>Senior</v>
      </c>
      <c r="N163" t="str">
        <f t="shared" si="21"/>
        <v>F|Category C</v>
      </c>
      <c r="O163" t="str">
        <f t="shared" si="22"/>
        <v>Yes</v>
      </c>
      <c r="P163" t="str">
        <f t="shared" si="23"/>
        <v>Yes</v>
      </c>
    </row>
    <row r="164" spans="1:16">
      <c r="A164" t="s">
        <v>196</v>
      </c>
      <c r="B164" t="s">
        <v>23</v>
      </c>
      <c r="C164">
        <v>26</v>
      </c>
      <c r="D164" t="s">
        <v>28</v>
      </c>
      <c r="E164" t="s">
        <v>51</v>
      </c>
      <c r="F164" t="s">
        <v>21</v>
      </c>
      <c r="G164" s="2">
        <v>560000</v>
      </c>
      <c r="H164" s="3">
        <v>1</v>
      </c>
      <c r="I164" s="3">
        <v>35</v>
      </c>
      <c r="J164" t="s">
        <v>15</v>
      </c>
      <c r="K164" s="8" t="str">
        <f t="shared" si="25"/>
        <v>F</v>
      </c>
      <c r="L164" t="str">
        <f t="shared" si="24"/>
        <v>25-34</v>
      </c>
      <c r="M164" t="str">
        <f t="shared" si="19"/>
        <v>Entry</v>
      </c>
      <c r="N164" t="str">
        <f t="shared" si="21"/>
        <v>F|Category B</v>
      </c>
      <c r="O164" t="str">
        <f t="shared" si="22"/>
        <v>No</v>
      </c>
      <c r="P164" t="str">
        <f t="shared" si="23"/>
        <v>Yes</v>
      </c>
    </row>
    <row r="165" spans="1:16">
      <c r="A165" t="s">
        <v>197</v>
      </c>
      <c r="B165" t="s">
        <v>23</v>
      </c>
      <c r="C165">
        <v>31</v>
      </c>
      <c r="D165" t="s">
        <v>58</v>
      </c>
      <c r="E165" t="s">
        <v>31</v>
      </c>
      <c r="F165" t="s">
        <v>14</v>
      </c>
      <c r="G165" s="2">
        <v>800000</v>
      </c>
      <c r="H165" s="3">
        <v>1</v>
      </c>
      <c r="I165" s="3">
        <v>41</v>
      </c>
      <c r="J165" t="s">
        <v>29</v>
      </c>
      <c r="K165" s="8" t="str">
        <f t="shared" si="25"/>
        <v>F</v>
      </c>
      <c r="L165" t="str">
        <f t="shared" si="24"/>
        <v>25-34</v>
      </c>
      <c r="M165" t="str">
        <f t="shared" si="19"/>
        <v>Mid</v>
      </c>
      <c r="N165" t="str">
        <f t="shared" si="21"/>
        <v>F|Category D</v>
      </c>
      <c r="O165" t="str">
        <f t="shared" si="22"/>
        <v>Yes</v>
      </c>
      <c r="P165" t="str">
        <f t="shared" si="23"/>
        <v>Yes</v>
      </c>
    </row>
    <row r="166" spans="1:16">
      <c r="A166" t="s">
        <v>198</v>
      </c>
      <c r="B166" t="s">
        <v>11</v>
      </c>
      <c r="C166">
        <v>36</v>
      </c>
      <c r="D166" t="s">
        <v>58</v>
      </c>
      <c r="E166" t="s">
        <v>13</v>
      </c>
      <c r="F166" t="s">
        <v>43</v>
      </c>
      <c r="G166" s="2">
        <v>1970000</v>
      </c>
      <c r="H166" s="3">
        <v>1</v>
      </c>
      <c r="I166" s="3">
        <v>48</v>
      </c>
      <c r="J166" t="s">
        <v>15</v>
      </c>
      <c r="K166" s="8" t="str">
        <f t="shared" si="25"/>
        <v>M</v>
      </c>
      <c r="L166" t="str">
        <f t="shared" si="24"/>
        <v>35-44</v>
      </c>
      <c r="M166" t="str">
        <f>IF(OR(F166="Entry",F166="Junior"),"Entry",IF(F166="Mid-Level","Mid",IF(F166="Senior","Senior",IF(OR(F166="Manager",F166="Senior Manager"),"Leadership","Review"))))</f>
        <v>Leadership</v>
      </c>
      <c r="N166" t="str">
        <f t="shared" si="21"/>
        <v>M|Category D</v>
      </c>
      <c r="O166" t="str">
        <f t="shared" si="22"/>
        <v>Yes</v>
      </c>
      <c r="P166" t="str">
        <f t="shared" si="23"/>
        <v>Yes</v>
      </c>
    </row>
    <row r="167" spans="1:16">
      <c r="A167" t="s">
        <v>199</v>
      </c>
      <c r="B167" t="s">
        <v>11</v>
      </c>
      <c r="C167">
        <v>25</v>
      </c>
      <c r="D167" t="s">
        <v>58</v>
      </c>
      <c r="E167" t="s">
        <v>47</v>
      </c>
      <c r="F167" t="s">
        <v>21</v>
      </c>
      <c r="G167" s="2">
        <v>545000</v>
      </c>
      <c r="H167" s="3">
        <v>0</v>
      </c>
      <c r="I167" s="3">
        <v>26</v>
      </c>
      <c r="J167" t="s">
        <v>15</v>
      </c>
      <c r="K167" s="8" t="str">
        <f t="shared" si="25"/>
        <v>M</v>
      </c>
      <c r="L167" t="str">
        <f t="shared" si="24"/>
        <v>25-34</v>
      </c>
      <c r="M167" t="str">
        <f t="shared" ref="M167:M192" si="26">IF(OR(F167="Entry",F167="Junior"),"Entry",IF(F167="Mid-Level","Mid",IF(F167="Senior","Senior",IF(OR(F167="Manager",F167="Senior Manager"),"Leadership","Review"))))</f>
        <v>Entry</v>
      </c>
      <c r="N167" t="str">
        <f t="shared" si="21"/>
        <v>M|Category D</v>
      </c>
      <c r="O167" t="str">
        <f t="shared" si="22"/>
        <v>No</v>
      </c>
      <c r="P167" t="str">
        <f t="shared" si="23"/>
        <v>Yes</v>
      </c>
    </row>
    <row r="168" spans="1:16">
      <c r="A168" t="s">
        <v>200</v>
      </c>
      <c r="B168" t="s">
        <v>23</v>
      </c>
      <c r="C168">
        <v>45</v>
      </c>
      <c r="D168" t="s">
        <v>17</v>
      </c>
      <c r="E168" t="s">
        <v>13</v>
      </c>
      <c r="F168" t="s">
        <v>34</v>
      </c>
      <c r="G168" s="2">
        <v>1265000</v>
      </c>
      <c r="H168" s="3">
        <v>3</v>
      </c>
      <c r="I168" s="3">
        <v>46</v>
      </c>
      <c r="J168" t="s">
        <v>15</v>
      </c>
      <c r="K168" s="8" t="str">
        <f t="shared" si="25"/>
        <v>F</v>
      </c>
      <c r="L168" t="str">
        <f t="shared" si="24"/>
        <v>45-54</v>
      </c>
      <c r="M168" t="str">
        <f t="shared" si="26"/>
        <v>Senior</v>
      </c>
      <c r="N168" t="str">
        <f t="shared" si="21"/>
        <v>F|Category A</v>
      </c>
      <c r="O168" t="str">
        <f t="shared" si="22"/>
        <v>Yes</v>
      </c>
      <c r="P168" t="str">
        <f t="shared" si="23"/>
        <v>Yes</v>
      </c>
    </row>
    <row r="169" spans="1:16">
      <c r="A169" t="s">
        <v>201</v>
      </c>
      <c r="B169" t="s">
        <v>11</v>
      </c>
      <c r="C169">
        <v>23</v>
      </c>
      <c r="D169" t="s">
        <v>17</v>
      </c>
      <c r="E169" t="s">
        <v>42</v>
      </c>
      <c r="F169" t="s">
        <v>21</v>
      </c>
      <c r="G169" s="2">
        <v>565000</v>
      </c>
      <c r="H169" s="3">
        <v>1</v>
      </c>
      <c r="I169" s="3">
        <v>36</v>
      </c>
      <c r="J169" t="s">
        <v>15</v>
      </c>
      <c r="K169" s="8" t="str">
        <f t="shared" si="25"/>
        <v>M</v>
      </c>
      <c r="L169" t="str">
        <f>IF(C169="","Missing",IF(C169&lt;25,"&lt;25",IF(C169&lt;35,"25-34",IF(C169&lt;45,"35-44",IF(C169&lt;55,"45-54","55+")))))</f>
        <v>&lt;25</v>
      </c>
      <c r="M169" t="str">
        <f t="shared" si="26"/>
        <v>Entry</v>
      </c>
      <c r="N169" t="str">
        <f t="shared" si="21"/>
        <v>M|Category A</v>
      </c>
      <c r="O169" t="str">
        <f t="shared" si="22"/>
        <v>No</v>
      </c>
      <c r="P169" t="str">
        <f t="shared" si="23"/>
        <v>Yes</v>
      </c>
    </row>
    <row r="170" spans="1:16">
      <c r="A170" t="s">
        <v>202</v>
      </c>
      <c r="B170" t="s">
        <v>11</v>
      </c>
      <c r="C170">
        <v>30</v>
      </c>
      <c r="D170" t="s">
        <v>17</v>
      </c>
      <c r="E170" t="s">
        <v>36</v>
      </c>
      <c r="F170" t="s">
        <v>21</v>
      </c>
      <c r="G170" s="2">
        <v>475000</v>
      </c>
      <c r="H170" s="3">
        <v>1</v>
      </c>
      <c r="I170" s="3">
        <v>25</v>
      </c>
      <c r="J170" t="s">
        <v>15</v>
      </c>
      <c r="K170" s="8" t="str">
        <f t="shared" si="25"/>
        <v>M</v>
      </c>
      <c r="L170" t="str">
        <f t="shared" ref="L170:L190" si="27">IF(C170="","Missing",IF(C170&lt;25,"&lt;25",IF(C170&lt;35,"25-34",IF(C170&lt;45,"35-44",IF(C170&lt;55,"45-54","55+")))))</f>
        <v>25-34</v>
      </c>
      <c r="M170" t="str">
        <f t="shared" si="26"/>
        <v>Entry</v>
      </c>
      <c r="N170" t="str">
        <f t="shared" si="21"/>
        <v>M|Category A</v>
      </c>
      <c r="O170" t="str">
        <f t="shared" si="22"/>
        <v>No</v>
      </c>
      <c r="P170" t="str">
        <f t="shared" si="23"/>
        <v>Yes</v>
      </c>
    </row>
    <row r="171" spans="1:16">
      <c r="A171" t="s">
        <v>203</v>
      </c>
      <c r="B171" t="s">
        <v>11</v>
      </c>
      <c r="C171">
        <v>25</v>
      </c>
      <c r="D171" t="s">
        <v>28</v>
      </c>
      <c r="E171" t="s">
        <v>36</v>
      </c>
      <c r="F171" t="s">
        <v>21</v>
      </c>
      <c r="G171" s="2">
        <v>690000</v>
      </c>
      <c r="H171" s="3">
        <v>1</v>
      </c>
      <c r="I171" s="3">
        <v>29</v>
      </c>
      <c r="J171" t="s">
        <v>15</v>
      </c>
      <c r="K171" s="8" t="str">
        <f t="shared" si="25"/>
        <v>M</v>
      </c>
      <c r="L171" t="str">
        <f t="shared" si="27"/>
        <v>25-34</v>
      </c>
      <c r="M171" t="str">
        <f t="shared" si="26"/>
        <v>Entry</v>
      </c>
      <c r="N171" t="str">
        <f t="shared" si="21"/>
        <v>M|Category B</v>
      </c>
      <c r="O171" t="str">
        <f t="shared" si="22"/>
        <v>No</v>
      </c>
      <c r="P171" t="str">
        <f t="shared" si="23"/>
        <v>Yes</v>
      </c>
    </row>
    <row r="172" spans="1:16">
      <c r="A172" t="s">
        <v>204</v>
      </c>
      <c r="B172" t="s">
        <v>11</v>
      </c>
      <c r="C172">
        <v>22</v>
      </c>
      <c r="D172" t="s">
        <v>58</v>
      </c>
      <c r="E172" t="s">
        <v>42</v>
      </c>
      <c r="F172" t="s">
        <v>24</v>
      </c>
      <c r="G172" s="2">
        <v>410000</v>
      </c>
      <c r="H172" s="3">
        <v>0</v>
      </c>
      <c r="I172" s="3">
        <v>27</v>
      </c>
      <c r="J172" t="s">
        <v>15</v>
      </c>
      <c r="K172" s="8" t="str">
        <f t="shared" si="25"/>
        <v>M</v>
      </c>
      <c r="L172" t="str">
        <f t="shared" si="27"/>
        <v>&lt;25</v>
      </c>
      <c r="M172" t="str">
        <f t="shared" si="26"/>
        <v>Entry</v>
      </c>
      <c r="N172" t="str">
        <f t="shared" si="21"/>
        <v>M|Category D</v>
      </c>
      <c r="O172" t="str">
        <f t="shared" si="22"/>
        <v>No</v>
      </c>
      <c r="P172" t="str">
        <f t="shared" si="23"/>
        <v>Yes</v>
      </c>
    </row>
    <row r="173" spans="1:16">
      <c r="A173" t="s">
        <v>205</v>
      </c>
      <c r="B173" t="s">
        <v>23</v>
      </c>
      <c r="C173">
        <v>36</v>
      </c>
      <c r="D173" t="s">
        <v>17</v>
      </c>
      <c r="E173" t="s">
        <v>18</v>
      </c>
      <c r="F173" t="s">
        <v>14</v>
      </c>
      <c r="G173" s="2">
        <v>725000</v>
      </c>
      <c r="H173" s="3">
        <v>1</v>
      </c>
      <c r="I173" s="3">
        <v>33</v>
      </c>
      <c r="J173" t="s">
        <v>15</v>
      </c>
      <c r="K173" s="8" t="str">
        <f t="shared" si="25"/>
        <v>F</v>
      </c>
      <c r="L173" t="str">
        <f t="shared" si="27"/>
        <v>35-44</v>
      </c>
      <c r="M173" t="str">
        <f t="shared" si="26"/>
        <v>Mid</v>
      </c>
      <c r="N173" t="str">
        <f t="shared" si="21"/>
        <v>F|Category A</v>
      </c>
      <c r="O173" t="str">
        <f t="shared" si="22"/>
        <v>Yes</v>
      </c>
      <c r="P173" t="str">
        <f t="shared" si="23"/>
        <v>Yes</v>
      </c>
    </row>
    <row r="174" spans="1:16">
      <c r="A174" t="s">
        <v>206</v>
      </c>
      <c r="B174" t="s">
        <v>23</v>
      </c>
      <c r="C174">
        <v>24</v>
      </c>
      <c r="D174" t="s">
        <v>58</v>
      </c>
      <c r="E174" t="s">
        <v>42</v>
      </c>
      <c r="F174" t="s">
        <v>21</v>
      </c>
      <c r="G174" s="2">
        <v>675000</v>
      </c>
      <c r="H174" s="3">
        <v>1</v>
      </c>
      <c r="I174" s="3">
        <v>12</v>
      </c>
      <c r="J174" t="s">
        <v>29</v>
      </c>
      <c r="K174" s="8" t="str">
        <f t="shared" si="25"/>
        <v>F</v>
      </c>
      <c r="L174" t="str">
        <f t="shared" si="27"/>
        <v>&lt;25</v>
      </c>
      <c r="M174" t="str">
        <f t="shared" si="26"/>
        <v>Entry</v>
      </c>
      <c r="N174" t="str">
        <f t="shared" si="21"/>
        <v>F|Category D</v>
      </c>
      <c r="O174" t="str">
        <f t="shared" si="22"/>
        <v>No</v>
      </c>
      <c r="P174" t="str">
        <f t="shared" si="23"/>
        <v>Yes</v>
      </c>
    </row>
    <row r="175" spans="1:16">
      <c r="A175" t="s">
        <v>207</v>
      </c>
      <c r="B175" t="s">
        <v>11</v>
      </c>
      <c r="C175">
        <v>30</v>
      </c>
      <c r="D175" t="s">
        <v>58</v>
      </c>
      <c r="E175" t="s">
        <v>20</v>
      </c>
      <c r="F175" t="s">
        <v>21</v>
      </c>
      <c r="G175" s="2">
        <v>425000</v>
      </c>
      <c r="H175" s="3">
        <v>0</v>
      </c>
      <c r="I175" s="3">
        <v>21</v>
      </c>
      <c r="J175" t="s">
        <v>15</v>
      </c>
      <c r="K175" s="8" t="str">
        <f t="shared" si="25"/>
        <v>M</v>
      </c>
      <c r="L175" t="str">
        <f t="shared" si="27"/>
        <v>25-34</v>
      </c>
      <c r="M175" t="str">
        <f t="shared" si="26"/>
        <v>Entry</v>
      </c>
      <c r="N175" t="str">
        <f t="shared" si="21"/>
        <v>M|Category D</v>
      </c>
      <c r="O175" t="str">
        <f t="shared" si="22"/>
        <v>No</v>
      </c>
      <c r="P175" t="str">
        <f t="shared" si="23"/>
        <v>Yes</v>
      </c>
    </row>
    <row r="176" spans="1:16">
      <c r="A176" t="s">
        <v>208</v>
      </c>
      <c r="B176" t="s">
        <v>23</v>
      </c>
      <c r="C176">
        <v>24</v>
      </c>
      <c r="D176" t="s">
        <v>17</v>
      </c>
      <c r="E176" t="s">
        <v>51</v>
      </c>
      <c r="F176" t="s">
        <v>21</v>
      </c>
      <c r="G176" s="2">
        <v>575000</v>
      </c>
      <c r="H176" s="3">
        <v>0</v>
      </c>
      <c r="I176" s="3">
        <v>21</v>
      </c>
      <c r="J176" t="s">
        <v>15</v>
      </c>
      <c r="K176" s="8" t="str">
        <f t="shared" si="25"/>
        <v>F</v>
      </c>
      <c r="L176" t="str">
        <f t="shared" si="27"/>
        <v>&lt;25</v>
      </c>
      <c r="M176" t="str">
        <f t="shared" si="26"/>
        <v>Entry</v>
      </c>
      <c r="N176" t="str">
        <f t="shared" si="21"/>
        <v>F|Category A</v>
      </c>
      <c r="O176" t="str">
        <f t="shared" si="22"/>
        <v>No</v>
      </c>
      <c r="P176" t="str">
        <f t="shared" si="23"/>
        <v>Yes</v>
      </c>
    </row>
    <row r="177" spans="1:16">
      <c r="A177" t="s">
        <v>209</v>
      </c>
      <c r="B177" t="s">
        <v>23</v>
      </c>
      <c r="C177">
        <v>55</v>
      </c>
      <c r="D177" t="s">
        <v>28</v>
      </c>
      <c r="E177" t="s">
        <v>36</v>
      </c>
      <c r="F177" t="s">
        <v>26</v>
      </c>
      <c r="G177" s="2">
        <v>2460000</v>
      </c>
      <c r="H177" s="3">
        <v>0</v>
      </c>
      <c r="I177" s="3">
        <v>38</v>
      </c>
      <c r="J177" t="s">
        <v>15</v>
      </c>
      <c r="K177" s="8" t="str">
        <f t="shared" si="25"/>
        <v>F</v>
      </c>
      <c r="L177" t="str">
        <f t="shared" si="27"/>
        <v>55+</v>
      </c>
      <c r="M177" t="str">
        <f t="shared" si="26"/>
        <v>Leadership</v>
      </c>
      <c r="N177" t="str">
        <f t="shared" si="21"/>
        <v>F|Category B</v>
      </c>
      <c r="O177" t="str">
        <f t="shared" si="22"/>
        <v>Yes</v>
      </c>
      <c r="P177" t="str">
        <f t="shared" si="23"/>
        <v>Yes</v>
      </c>
    </row>
    <row r="178" spans="1:16">
      <c r="A178" t="s">
        <v>210</v>
      </c>
      <c r="B178" t="s">
        <v>66</v>
      </c>
      <c r="C178">
        <v>26</v>
      </c>
      <c r="D178" t="s">
        <v>28</v>
      </c>
      <c r="E178" t="s">
        <v>36</v>
      </c>
      <c r="F178" t="s">
        <v>21</v>
      </c>
      <c r="G178" s="2">
        <v>420000</v>
      </c>
      <c r="H178" s="3">
        <v>0</v>
      </c>
      <c r="I178" s="3">
        <v>19</v>
      </c>
      <c r="J178" t="s">
        <v>15</v>
      </c>
      <c r="K178" s="8" t="str">
        <f t="shared" si="25"/>
        <v>Undisclosed</v>
      </c>
      <c r="L178" t="str">
        <f t="shared" si="27"/>
        <v>25-34</v>
      </c>
      <c r="M178" t="str">
        <f t="shared" si="26"/>
        <v>Entry</v>
      </c>
      <c r="N178" t="str">
        <f t="shared" si="21"/>
        <v>Undisclosed|Category B</v>
      </c>
      <c r="O178" t="str">
        <f t="shared" si="22"/>
        <v>No</v>
      </c>
      <c r="P178" t="str">
        <f t="shared" si="23"/>
        <v>Yes</v>
      </c>
    </row>
    <row r="179" spans="1:16">
      <c r="A179" t="s">
        <v>211</v>
      </c>
      <c r="B179" t="s">
        <v>11</v>
      </c>
      <c r="C179">
        <v>26</v>
      </c>
      <c r="D179" t="s">
        <v>17</v>
      </c>
      <c r="E179" t="s">
        <v>20</v>
      </c>
      <c r="F179" t="s">
        <v>24</v>
      </c>
      <c r="G179" s="2">
        <v>350000</v>
      </c>
      <c r="H179" s="3">
        <v>0</v>
      </c>
      <c r="I179" s="3">
        <v>9</v>
      </c>
      <c r="J179" t="s">
        <v>29</v>
      </c>
      <c r="K179" s="8" t="str">
        <f t="shared" si="25"/>
        <v>M</v>
      </c>
      <c r="L179" t="str">
        <f t="shared" si="27"/>
        <v>25-34</v>
      </c>
      <c r="M179" t="str">
        <f t="shared" si="26"/>
        <v>Entry</v>
      </c>
      <c r="N179" t="str">
        <f t="shared" si="21"/>
        <v>M|Category A</v>
      </c>
      <c r="O179" t="str">
        <f t="shared" si="22"/>
        <v>No</v>
      </c>
      <c r="P179" t="str">
        <f t="shared" si="23"/>
        <v>No</v>
      </c>
    </row>
    <row r="180" spans="1:16">
      <c r="A180" t="s">
        <v>212</v>
      </c>
      <c r="B180" t="s">
        <v>11</v>
      </c>
      <c r="C180">
        <v>33</v>
      </c>
      <c r="D180" t="s">
        <v>12</v>
      </c>
      <c r="E180" t="s">
        <v>20</v>
      </c>
      <c r="F180" t="s">
        <v>14</v>
      </c>
      <c r="G180" s="2">
        <v>990000</v>
      </c>
      <c r="H180" s="3">
        <v>0</v>
      </c>
      <c r="I180" s="3">
        <v>39</v>
      </c>
      <c r="J180" t="s">
        <v>15</v>
      </c>
      <c r="K180" s="8" t="str">
        <f t="shared" si="25"/>
        <v>M</v>
      </c>
      <c r="L180" t="str">
        <f t="shared" si="27"/>
        <v>25-34</v>
      </c>
      <c r="M180" t="str">
        <f t="shared" si="26"/>
        <v>Mid</v>
      </c>
      <c r="N180" t="str">
        <f t="shared" si="21"/>
        <v>M|Category C</v>
      </c>
      <c r="O180" t="str">
        <f t="shared" si="22"/>
        <v>Yes</v>
      </c>
      <c r="P180" t="str">
        <f t="shared" si="23"/>
        <v>Yes</v>
      </c>
    </row>
    <row r="181" spans="1:16">
      <c r="A181" t="s">
        <v>213</v>
      </c>
      <c r="B181" t="s">
        <v>23</v>
      </c>
      <c r="C181">
        <v>51</v>
      </c>
      <c r="D181" t="s">
        <v>58</v>
      </c>
      <c r="E181" t="s">
        <v>36</v>
      </c>
      <c r="F181" t="s">
        <v>43</v>
      </c>
      <c r="G181" s="2">
        <v>1580000</v>
      </c>
      <c r="H181" s="3">
        <v>2</v>
      </c>
      <c r="I181" s="3">
        <v>52</v>
      </c>
      <c r="J181" t="s">
        <v>15</v>
      </c>
      <c r="K181" s="8" t="str">
        <f t="shared" si="25"/>
        <v>F</v>
      </c>
      <c r="L181" t="str">
        <f t="shared" si="27"/>
        <v>45-54</v>
      </c>
      <c r="M181" t="str">
        <f t="shared" si="26"/>
        <v>Leadership</v>
      </c>
      <c r="N181" t="str">
        <f t="shared" si="21"/>
        <v>F|Category D</v>
      </c>
      <c r="O181" t="str">
        <f t="shared" si="22"/>
        <v>Yes</v>
      </c>
      <c r="P181" t="str">
        <f t="shared" si="23"/>
        <v>Yes</v>
      </c>
    </row>
    <row r="182" spans="1:16">
      <c r="A182" t="s">
        <v>214</v>
      </c>
      <c r="B182" t="s">
        <v>23</v>
      </c>
      <c r="C182">
        <v>24</v>
      </c>
      <c r="D182" t="s">
        <v>17</v>
      </c>
      <c r="E182" t="s">
        <v>51</v>
      </c>
      <c r="F182" t="s">
        <v>21</v>
      </c>
      <c r="G182" s="2">
        <v>570000</v>
      </c>
      <c r="H182" s="3">
        <v>0</v>
      </c>
      <c r="I182" s="3">
        <v>19</v>
      </c>
      <c r="J182" t="s">
        <v>15</v>
      </c>
      <c r="K182" s="8" t="str">
        <f t="shared" si="25"/>
        <v>F</v>
      </c>
      <c r="L182" t="str">
        <f t="shared" si="27"/>
        <v>&lt;25</v>
      </c>
      <c r="M182" t="str">
        <f t="shared" si="26"/>
        <v>Entry</v>
      </c>
      <c r="N182" t="str">
        <f t="shared" si="21"/>
        <v>F|Category A</v>
      </c>
      <c r="O182" t="str">
        <f t="shared" si="22"/>
        <v>No</v>
      </c>
      <c r="P182" t="str">
        <f t="shared" si="23"/>
        <v>Yes</v>
      </c>
    </row>
    <row r="183" spans="1:16">
      <c r="A183" t="s">
        <v>215</v>
      </c>
      <c r="B183" t="s">
        <v>66</v>
      </c>
      <c r="C183">
        <v>23</v>
      </c>
      <c r="D183" t="s">
        <v>58</v>
      </c>
      <c r="E183" t="s">
        <v>13</v>
      </c>
      <c r="F183" t="s">
        <v>21</v>
      </c>
      <c r="G183" s="2">
        <v>585000</v>
      </c>
      <c r="H183" s="3">
        <v>0</v>
      </c>
      <c r="I183" s="3">
        <v>23</v>
      </c>
      <c r="J183" t="s">
        <v>15</v>
      </c>
      <c r="K183" s="8" t="str">
        <f>IF(B183="Male","M",IF(B183="Female","F",IF(B183="Prefer Not to Say","Undisclosed","Other")))</f>
        <v>Undisclosed</v>
      </c>
      <c r="L183" t="str">
        <f t="shared" si="27"/>
        <v>&lt;25</v>
      </c>
      <c r="M183" t="str">
        <f t="shared" si="26"/>
        <v>Entry</v>
      </c>
      <c r="N183" t="str">
        <f t="shared" si="21"/>
        <v>Undisclosed|Category D</v>
      </c>
      <c r="O183" t="str">
        <f t="shared" si="22"/>
        <v>No</v>
      </c>
      <c r="P183" t="str">
        <f t="shared" si="23"/>
        <v>Yes</v>
      </c>
    </row>
    <row r="184" spans="1:16">
      <c r="A184" t="s">
        <v>216</v>
      </c>
      <c r="B184" t="s">
        <v>11</v>
      </c>
      <c r="C184">
        <v>37</v>
      </c>
      <c r="D184" t="s">
        <v>12</v>
      </c>
      <c r="E184" t="s">
        <v>51</v>
      </c>
      <c r="F184" t="s">
        <v>34</v>
      </c>
      <c r="G184" s="2">
        <v>1280000</v>
      </c>
      <c r="H184" s="3">
        <v>1</v>
      </c>
      <c r="I184" s="3">
        <v>30</v>
      </c>
      <c r="J184" t="s">
        <v>29</v>
      </c>
      <c r="K184" s="8" t="str">
        <f t="shared" ref="K184:K201" si="28">IF(B184="Male","M",IF(B184="Female","F",IF(B184="Prefer Not to Say","Undisclosed","Other")))</f>
        <v>M</v>
      </c>
      <c r="L184" t="str">
        <f t="shared" si="27"/>
        <v>35-44</v>
      </c>
      <c r="M184" t="str">
        <f t="shared" si="26"/>
        <v>Senior</v>
      </c>
      <c r="N184" t="str">
        <f t="shared" si="21"/>
        <v>M|Category C</v>
      </c>
      <c r="O184" t="str">
        <f t="shared" si="22"/>
        <v>Yes</v>
      </c>
      <c r="P184" t="str">
        <f t="shared" si="23"/>
        <v>Yes</v>
      </c>
    </row>
    <row r="185" spans="1:16">
      <c r="A185" t="s">
        <v>217</v>
      </c>
      <c r="B185" t="s">
        <v>61</v>
      </c>
      <c r="C185">
        <v>21</v>
      </c>
      <c r="D185" t="s">
        <v>17</v>
      </c>
      <c r="E185" t="s">
        <v>31</v>
      </c>
      <c r="F185" t="s">
        <v>24</v>
      </c>
      <c r="G185" s="2">
        <v>360000</v>
      </c>
      <c r="H185" s="3">
        <v>1</v>
      </c>
      <c r="I185" s="3">
        <v>19</v>
      </c>
      <c r="J185" t="s">
        <v>15</v>
      </c>
      <c r="K185" s="8" t="str">
        <f t="shared" si="28"/>
        <v>Other</v>
      </c>
      <c r="L185" t="str">
        <f t="shared" si="27"/>
        <v>&lt;25</v>
      </c>
      <c r="M185" t="str">
        <f t="shared" si="26"/>
        <v>Entry</v>
      </c>
      <c r="N185" t="str">
        <f t="shared" si="21"/>
        <v>Other|Category A</v>
      </c>
      <c r="O185" t="str">
        <f t="shared" si="22"/>
        <v>No</v>
      </c>
      <c r="P185" t="str">
        <f t="shared" si="23"/>
        <v>Yes</v>
      </c>
    </row>
    <row r="186" spans="1:16">
      <c r="A186" t="s">
        <v>218</v>
      </c>
      <c r="B186" t="s">
        <v>23</v>
      </c>
      <c r="C186">
        <v>36</v>
      </c>
      <c r="D186" t="s">
        <v>28</v>
      </c>
      <c r="E186" t="s">
        <v>36</v>
      </c>
      <c r="F186" t="s">
        <v>34</v>
      </c>
      <c r="G186" s="2">
        <v>1290000</v>
      </c>
      <c r="H186" s="3">
        <v>1</v>
      </c>
      <c r="I186" s="3">
        <v>24</v>
      </c>
      <c r="J186" t="s">
        <v>15</v>
      </c>
      <c r="K186" s="8" t="str">
        <f t="shared" si="28"/>
        <v>F</v>
      </c>
      <c r="L186" t="str">
        <f t="shared" si="27"/>
        <v>35-44</v>
      </c>
      <c r="M186" t="str">
        <f t="shared" si="26"/>
        <v>Senior</v>
      </c>
      <c r="N186" t="str">
        <f t="shared" si="21"/>
        <v>F|Category B</v>
      </c>
      <c r="O186" t="str">
        <f t="shared" si="22"/>
        <v>Yes</v>
      </c>
      <c r="P186" t="str">
        <f t="shared" si="23"/>
        <v>Yes</v>
      </c>
    </row>
    <row r="187" spans="1:16">
      <c r="A187" t="s">
        <v>219</v>
      </c>
      <c r="B187" t="s">
        <v>23</v>
      </c>
      <c r="C187">
        <v>24</v>
      </c>
      <c r="D187" t="s">
        <v>17</v>
      </c>
      <c r="E187" t="s">
        <v>36</v>
      </c>
      <c r="F187" t="s">
        <v>21</v>
      </c>
      <c r="G187" s="2">
        <v>415000</v>
      </c>
      <c r="H187" s="3">
        <v>1</v>
      </c>
      <c r="I187" s="3">
        <v>25</v>
      </c>
      <c r="J187" t="s">
        <v>15</v>
      </c>
      <c r="K187" s="8" t="str">
        <f t="shared" si="28"/>
        <v>F</v>
      </c>
      <c r="L187" t="str">
        <f t="shared" si="27"/>
        <v>&lt;25</v>
      </c>
      <c r="M187" t="str">
        <f t="shared" si="26"/>
        <v>Entry</v>
      </c>
      <c r="N187" t="str">
        <f t="shared" si="21"/>
        <v>F|Category A</v>
      </c>
      <c r="O187" t="str">
        <f t="shared" si="22"/>
        <v>No</v>
      </c>
      <c r="P187" t="str">
        <f t="shared" si="23"/>
        <v>Yes</v>
      </c>
    </row>
    <row r="188" spans="1:16">
      <c r="A188" t="s">
        <v>220</v>
      </c>
      <c r="B188" t="s">
        <v>11</v>
      </c>
      <c r="C188">
        <v>34</v>
      </c>
      <c r="D188" t="s">
        <v>17</v>
      </c>
      <c r="E188" t="s">
        <v>31</v>
      </c>
      <c r="F188" t="s">
        <v>34</v>
      </c>
      <c r="G188" s="2">
        <v>1200000</v>
      </c>
      <c r="H188" s="3">
        <v>1</v>
      </c>
      <c r="I188" s="3">
        <v>51</v>
      </c>
      <c r="J188" t="s">
        <v>15</v>
      </c>
      <c r="K188" s="8" t="str">
        <f t="shared" si="28"/>
        <v>M</v>
      </c>
      <c r="L188" t="str">
        <f t="shared" si="27"/>
        <v>25-34</v>
      </c>
      <c r="M188" t="str">
        <f t="shared" si="26"/>
        <v>Senior</v>
      </c>
      <c r="N188" t="str">
        <f t="shared" si="21"/>
        <v>M|Category A</v>
      </c>
      <c r="O188" t="str">
        <f t="shared" si="22"/>
        <v>Yes</v>
      </c>
      <c r="P188" t="str">
        <f t="shared" si="23"/>
        <v>Yes</v>
      </c>
    </row>
    <row r="189" spans="1:16">
      <c r="A189" t="s">
        <v>221</v>
      </c>
      <c r="B189" t="s">
        <v>23</v>
      </c>
      <c r="C189">
        <v>49</v>
      </c>
      <c r="D189" t="s">
        <v>28</v>
      </c>
      <c r="E189" t="s">
        <v>36</v>
      </c>
      <c r="F189" t="s">
        <v>43</v>
      </c>
      <c r="G189" s="2">
        <v>1390000</v>
      </c>
      <c r="H189" s="3">
        <v>2</v>
      </c>
      <c r="I189" s="3">
        <v>45</v>
      </c>
      <c r="J189" t="s">
        <v>15</v>
      </c>
      <c r="K189" s="8" t="str">
        <f t="shared" si="28"/>
        <v>F</v>
      </c>
      <c r="L189" t="str">
        <f t="shared" si="27"/>
        <v>45-54</v>
      </c>
      <c r="M189" t="str">
        <f t="shared" si="26"/>
        <v>Leadership</v>
      </c>
      <c r="N189" t="str">
        <f t="shared" si="21"/>
        <v>F|Category B</v>
      </c>
      <c r="O189" t="str">
        <f t="shared" si="22"/>
        <v>Yes</v>
      </c>
      <c r="P189" t="str">
        <f t="shared" si="23"/>
        <v>Yes</v>
      </c>
    </row>
    <row r="190" spans="1:16">
      <c r="A190" t="s">
        <v>222</v>
      </c>
      <c r="B190" t="s">
        <v>11</v>
      </c>
      <c r="C190">
        <v>40</v>
      </c>
      <c r="D190" t="s">
        <v>17</v>
      </c>
      <c r="E190" t="s">
        <v>31</v>
      </c>
      <c r="F190" t="s">
        <v>43</v>
      </c>
      <c r="G190" s="2">
        <v>1970000</v>
      </c>
      <c r="H190" s="3">
        <v>0</v>
      </c>
      <c r="I190" s="3">
        <v>48</v>
      </c>
      <c r="J190" t="s">
        <v>15</v>
      </c>
      <c r="K190" s="8" t="str">
        <f t="shared" si="28"/>
        <v>M</v>
      </c>
      <c r="L190" t="str">
        <f t="shared" si="27"/>
        <v>35-44</v>
      </c>
      <c r="M190" t="str">
        <f t="shared" si="26"/>
        <v>Leadership</v>
      </c>
      <c r="N190" t="str">
        <f t="shared" si="21"/>
        <v>M|Category A</v>
      </c>
      <c r="O190" t="str">
        <f t="shared" si="22"/>
        <v>Yes</v>
      </c>
      <c r="P190" t="str">
        <f t="shared" si="23"/>
        <v>Yes</v>
      </c>
    </row>
    <row r="191" spans="1:16">
      <c r="A191" t="s">
        <v>223</v>
      </c>
      <c r="B191" t="s">
        <v>23</v>
      </c>
      <c r="C191">
        <v>30</v>
      </c>
      <c r="D191" t="s">
        <v>12</v>
      </c>
      <c r="E191" t="s">
        <v>13</v>
      </c>
      <c r="F191" t="s">
        <v>21</v>
      </c>
      <c r="G191" s="2">
        <v>415000</v>
      </c>
      <c r="H191" s="3">
        <v>0</v>
      </c>
      <c r="I191" s="3">
        <v>28</v>
      </c>
      <c r="J191" t="s">
        <v>15</v>
      </c>
      <c r="K191" s="8" t="str">
        <f t="shared" si="28"/>
        <v>F</v>
      </c>
      <c r="L191" t="str">
        <f>IF(C191="","Missing",IF(C191&lt;25,"&lt;25",IF(C191&lt;35,"25-34",IF(C191&lt;45,"35-44",IF(C191&lt;55,"45-54","55+")))))</f>
        <v>25-34</v>
      </c>
      <c r="M191" t="str">
        <f t="shared" si="26"/>
        <v>Entry</v>
      </c>
      <c r="N191" t="str">
        <f t="shared" si="21"/>
        <v>F|Category C</v>
      </c>
      <c r="O191" t="str">
        <f t="shared" si="22"/>
        <v>No</v>
      </c>
      <c r="P191" t="str">
        <f t="shared" si="23"/>
        <v>Yes</v>
      </c>
    </row>
    <row r="192" spans="1:16">
      <c r="A192" t="s">
        <v>224</v>
      </c>
      <c r="B192" t="s">
        <v>11</v>
      </c>
      <c r="C192">
        <v>24</v>
      </c>
      <c r="D192" t="s">
        <v>12</v>
      </c>
      <c r="E192" t="s">
        <v>31</v>
      </c>
      <c r="F192" t="s">
        <v>24</v>
      </c>
      <c r="G192" s="2">
        <v>490000</v>
      </c>
      <c r="H192" s="3">
        <v>1</v>
      </c>
      <c r="I192" s="3">
        <v>24</v>
      </c>
      <c r="J192" t="s">
        <v>15</v>
      </c>
      <c r="K192" s="8" t="str">
        <f t="shared" si="28"/>
        <v>M</v>
      </c>
      <c r="L192" t="str">
        <f t="shared" ref="L192:L201" si="29">IF(C192="","Missing",IF(C192&lt;25,"&lt;25",IF(C192&lt;35,"25-34",IF(C192&lt;45,"35-44",IF(C192&lt;55,"45-54","55+")))))</f>
        <v>&lt;25</v>
      </c>
      <c r="M192" t="str">
        <f t="shared" si="26"/>
        <v>Entry</v>
      </c>
      <c r="N192" t="str">
        <f t="shared" si="21"/>
        <v>M|Category C</v>
      </c>
      <c r="O192" t="str">
        <f t="shared" si="22"/>
        <v>No</v>
      </c>
      <c r="P192" t="str">
        <f t="shared" si="23"/>
        <v>Yes</v>
      </c>
    </row>
    <row r="193" spans="1:16">
      <c r="A193" t="s">
        <v>225</v>
      </c>
      <c r="B193" t="s">
        <v>11</v>
      </c>
      <c r="C193">
        <v>60</v>
      </c>
      <c r="D193" t="s">
        <v>58</v>
      </c>
      <c r="E193" t="s">
        <v>31</v>
      </c>
      <c r="F193" t="s">
        <v>26</v>
      </c>
      <c r="G193" s="2">
        <v>1880000</v>
      </c>
      <c r="H193" s="3">
        <v>1</v>
      </c>
      <c r="I193" s="3">
        <v>73</v>
      </c>
      <c r="J193" t="s">
        <v>15</v>
      </c>
      <c r="K193" s="8" t="str">
        <f t="shared" si="28"/>
        <v>M</v>
      </c>
      <c r="L193" t="str">
        <f t="shared" si="29"/>
        <v>55+</v>
      </c>
      <c r="M193" t="str">
        <f>IF(OR(F193="Entry",F193="Junior"),"Entry",IF(F193="Mid-Level","Mid",IF(F193="Senior","Senior",IF(OR(F193="Manager",F193="Senior Manager"),"Leadership","Review"))))</f>
        <v>Leadership</v>
      </c>
      <c r="N193" t="str">
        <f t="shared" si="21"/>
        <v>M|Category D</v>
      </c>
      <c r="O193" t="str">
        <f t="shared" si="22"/>
        <v>Yes</v>
      </c>
      <c r="P193" t="str">
        <f t="shared" si="23"/>
        <v>Yes</v>
      </c>
    </row>
    <row r="194" spans="1:16">
      <c r="A194" t="s">
        <v>226</v>
      </c>
      <c r="B194" t="s">
        <v>23</v>
      </c>
      <c r="C194">
        <v>33</v>
      </c>
      <c r="D194" t="s">
        <v>28</v>
      </c>
      <c r="E194" t="s">
        <v>31</v>
      </c>
      <c r="F194" t="s">
        <v>34</v>
      </c>
      <c r="G194" s="2">
        <v>1355000</v>
      </c>
      <c r="H194" s="3">
        <v>1</v>
      </c>
      <c r="I194" s="3">
        <v>23</v>
      </c>
      <c r="J194" t="s">
        <v>15</v>
      </c>
      <c r="K194" s="8" t="str">
        <f t="shared" si="28"/>
        <v>F</v>
      </c>
      <c r="L194" t="str">
        <f t="shared" si="29"/>
        <v>25-34</v>
      </c>
      <c r="M194" t="str">
        <f t="shared" ref="M194:M201" si="30">IF(OR(F194="Entry",F194="Junior"),"Entry",IF(F194="Mid-Level","Mid",IF(F194="Senior","Senior",IF(OR(F194="Manager",F194="Senior Manager"),"Leadership","Review"))))</f>
        <v>Senior</v>
      </c>
      <c r="N194" t="str">
        <f t="shared" si="21"/>
        <v>F|Category B</v>
      </c>
      <c r="O194" t="str">
        <f t="shared" si="22"/>
        <v>Yes</v>
      </c>
      <c r="P194" t="str">
        <f t="shared" si="23"/>
        <v>Yes</v>
      </c>
    </row>
    <row r="195" spans="1:16">
      <c r="A195" t="s">
        <v>227</v>
      </c>
      <c r="B195" t="s">
        <v>23</v>
      </c>
      <c r="C195">
        <v>26</v>
      </c>
      <c r="D195" t="s">
        <v>17</v>
      </c>
      <c r="E195" t="s">
        <v>36</v>
      </c>
      <c r="F195" t="s">
        <v>21</v>
      </c>
      <c r="G195" s="2">
        <v>580000</v>
      </c>
      <c r="H195" s="3">
        <v>1</v>
      </c>
      <c r="I195" s="3">
        <v>26</v>
      </c>
      <c r="J195" t="s">
        <v>29</v>
      </c>
      <c r="K195" s="8" t="str">
        <f t="shared" si="28"/>
        <v>F</v>
      </c>
      <c r="L195" t="str">
        <f t="shared" si="29"/>
        <v>25-34</v>
      </c>
      <c r="M195" t="str">
        <f t="shared" si="30"/>
        <v>Entry</v>
      </c>
      <c r="N195" t="str">
        <f t="shared" ref="N195:N201" si="31">K195&amp;"|"&amp;D195</f>
        <v>F|Category A</v>
      </c>
      <c r="O195" t="str">
        <f t="shared" ref="O195:O201" si="32">IF(OR(M195="Mid",M195="Senior",M195="Leadership"),"Yes","No")</f>
        <v>No</v>
      </c>
      <c r="P195" t="str">
        <f t="shared" ref="P195:P201" si="33">IF(I195&gt;10,"Yes","No")</f>
        <v>Yes</v>
      </c>
    </row>
    <row r="196" spans="1:16">
      <c r="A196" t="s">
        <v>228</v>
      </c>
      <c r="B196" t="s">
        <v>23</v>
      </c>
      <c r="C196">
        <v>23</v>
      </c>
      <c r="D196" t="s">
        <v>12</v>
      </c>
      <c r="E196" t="s">
        <v>31</v>
      </c>
      <c r="F196" t="s">
        <v>24</v>
      </c>
      <c r="G196" s="2">
        <v>460000</v>
      </c>
      <c r="H196" s="3">
        <v>0</v>
      </c>
      <c r="I196" s="3">
        <v>24</v>
      </c>
      <c r="J196" t="s">
        <v>15</v>
      </c>
      <c r="K196" s="8" t="str">
        <f t="shared" si="28"/>
        <v>F</v>
      </c>
      <c r="L196" t="str">
        <f t="shared" si="29"/>
        <v>&lt;25</v>
      </c>
      <c r="M196" t="str">
        <f t="shared" si="30"/>
        <v>Entry</v>
      </c>
      <c r="N196" t="str">
        <f t="shared" si="31"/>
        <v>F|Category C</v>
      </c>
      <c r="O196" t="str">
        <f t="shared" si="32"/>
        <v>No</v>
      </c>
      <c r="P196" t="str">
        <f t="shared" si="33"/>
        <v>Yes</v>
      </c>
    </row>
    <row r="197" spans="1:16">
      <c r="A197" t="s">
        <v>229</v>
      </c>
      <c r="B197" t="s">
        <v>23</v>
      </c>
      <c r="C197">
        <v>42</v>
      </c>
      <c r="D197" t="s">
        <v>17</v>
      </c>
      <c r="E197" t="s">
        <v>36</v>
      </c>
      <c r="F197" t="s">
        <v>34</v>
      </c>
      <c r="G197" s="2">
        <v>1255000</v>
      </c>
      <c r="H197" s="3">
        <v>2</v>
      </c>
      <c r="I197" s="3">
        <v>56</v>
      </c>
      <c r="J197" t="s">
        <v>15</v>
      </c>
      <c r="K197" s="8" t="str">
        <f t="shared" si="28"/>
        <v>F</v>
      </c>
      <c r="L197" t="str">
        <f t="shared" si="29"/>
        <v>35-44</v>
      </c>
      <c r="M197" t="str">
        <f t="shared" si="30"/>
        <v>Senior</v>
      </c>
      <c r="N197" t="str">
        <f t="shared" si="31"/>
        <v>F|Category A</v>
      </c>
      <c r="O197" t="str">
        <f t="shared" si="32"/>
        <v>Yes</v>
      </c>
      <c r="P197" t="str">
        <f t="shared" si="33"/>
        <v>Yes</v>
      </c>
    </row>
    <row r="198" spans="1:16">
      <c r="A198" t="s">
        <v>230</v>
      </c>
      <c r="B198" t="s">
        <v>23</v>
      </c>
      <c r="C198">
        <v>43</v>
      </c>
      <c r="D198" t="s">
        <v>28</v>
      </c>
      <c r="E198" t="s">
        <v>36</v>
      </c>
      <c r="F198" t="s">
        <v>34</v>
      </c>
      <c r="G198" s="2">
        <v>1500000</v>
      </c>
      <c r="H198" s="3">
        <v>1</v>
      </c>
      <c r="I198" s="3">
        <v>60</v>
      </c>
      <c r="J198" t="s">
        <v>15</v>
      </c>
      <c r="K198" s="8" t="str">
        <f t="shared" si="28"/>
        <v>F</v>
      </c>
      <c r="L198" t="str">
        <f t="shared" si="29"/>
        <v>35-44</v>
      </c>
      <c r="M198" t="str">
        <f t="shared" si="30"/>
        <v>Senior</v>
      </c>
      <c r="N198" t="str">
        <f t="shared" si="31"/>
        <v>F|Category B</v>
      </c>
      <c r="O198" t="str">
        <f t="shared" si="32"/>
        <v>Yes</v>
      </c>
      <c r="P198" t="str">
        <f t="shared" si="33"/>
        <v>Yes</v>
      </c>
    </row>
    <row r="199" spans="1:16">
      <c r="A199" t="s">
        <v>231</v>
      </c>
      <c r="B199" t="s">
        <v>11</v>
      </c>
      <c r="C199">
        <v>37</v>
      </c>
      <c r="D199" t="s">
        <v>28</v>
      </c>
      <c r="E199" t="s">
        <v>51</v>
      </c>
      <c r="F199" t="s">
        <v>14</v>
      </c>
      <c r="G199" s="2">
        <v>815000</v>
      </c>
      <c r="H199" s="3">
        <v>0</v>
      </c>
      <c r="I199" s="3">
        <v>19</v>
      </c>
      <c r="J199" t="s">
        <v>15</v>
      </c>
      <c r="K199" s="8" t="str">
        <f t="shared" si="28"/>
        <v>M</v>
      </c>
      <c r="L199" t="str">
        <f t="shared" si="29"/>
        <v>35-44</v>
      </c>
      <c r="M199" t="str">
        <f t="shared" si="30"/>
        <v>Mid</v>
      </c>
      <c r="N199" t="str">
        <f t="shared" si="31"/>
        <v>M|Category B</v>
      </c>
      <c r="O199" t="str">
        <f t="shared" si="32"/>
        <v>Yes</v>
      </c>
      <c r="P199" t="str">
        <f t="shared" si="33"/>
        <v>Yes</v>
      </c>
    </row>
    <row r="200" spans="1:16">
      <c r="A200" t="s">
        <v>232</v>
      </c>
      <c r="B200" t="s">
        <v>23</v>
      </c>
      <c r="C200">
        <v>25</v>
      </c>
      <c r="D200" t="s">
        <v>66</v>
      </c>
      <c r="E200" t="s">
        <v>31</v>
      </c>
      <c r="F200" t="s">
        <v>21</v>
      </c>
      <c r="G200" s="2">
        <v>565000</v>
      </c>
      <c r="H200" s="3">
        <v>1</v>
      </c>
      <c r="I200" s="3">
        <v>20</v>
      </c>
      <c r="J200" t="s">
        <v>15</v>
      </c>
      <c r="K200" s="8" t="str">
        <f t="shared" si="28"/>
        <v>F</v>
      </c>
      <c r="L200" t="str">
        <f t="shared" si="29"/>
        <v>25-34</v>
      </c>
      <c r="M200" t="str">
        <f t="shared" si="30"/>
        <v>Entry</v>
      </c>
      <c r="N200" t="str">
        <f t="shared" si="31"/>
        <v>F|Prefer Not to Say</v>
      </c>
      <c r="O200" t="str">
        <f t="shared" si="32"/>
        <v>No</v>
      </c>
      <c r="P200" t="str">
        <f t="shared" si="33"/>
        <v>Yes</v>
      </c>
    </row>
    <row r="201" spans="1:16">
      <c r="A201" t="s">
        <v>233</v>
      </c>
      <c r="B201" t="s">
        <v>11</v>
      </c>
      <c r="C201">
        <v>39</v>
      </c>
      <c r="D201" t="s">
        <v>17</v>
      </c>
      <c r="E201" t="s">
        <v>13</v>
      </c>
      <c r="F201" t="s">
        <v>34</v>
      </c>
      <c r="G201" s="2">
        <v>1490000</v>
      </c>
      <c r="H201" s="3">
        <v>0</v>
      </c>
      <c r="I201" s="3">
        <v>35</v>
      </c>
      <c r="J201" t="s">
        <v>15</v>
      </c>
      <c r="K201" s="8" t="str">
        <f t="shared" si="28"/>
        <v>M</v>
      </c>
      <c r="L201" t="str">
        <f t="shared" si="29"/>
        <v>35-44</v>
      </c>
      <c r="M201" t="str">
        <f t="shared" si="30"/>
        <v>Senior</v>
      </c>
      <c r="N201" t="str">
        <f t="shared" si="31"/>
        <v>M|Category A</v>
      </c>
      <c r="O201" t="str">
        <f t="shared" si="32"/>
        <v>Yes</v>
      </c>
      <c r="P201" t="str">
        <f t="shared" si="33"/>
        <v>Yes</v>
      </c>
    </row>
  </sheetData>
  <autoFilter ref="A1:J201"/>
  <pageMargins left="0.75" right="0.75" top="1" bottom="1" header="0.5" footer="0.5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5" customWidth="1"/>
    <col min="2" max="2" width="18" customWidth="1"/>
    <col min="3" max="3" width="10" customWidth="1"/>
    <col min="4" max="5" width="20" customWidth="1"/>
    <col min="6" max="6" width="18" customWidth="1"/>
    <col min="7" max="7" width="15" customWidth="1"/>
    <col min="8" max="8" width="25" customWidth="1"/>
    <col min="9" max="10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27</v>
      </c>
      <c r="D2" t="s">
        <v>12</v>
      </c>
      <c r="E2" t="s">
        <v>13</v>
      </c>
      <c r="F2" t="s">
        <v>14</v>
      </c>
      <c r="G2" s="2">
        <v>990000</v>
      </c>
      <c r="H2" s="3">
        <v>0</v>
      </c>
      <c r="I2" s="3">
        <v>29</v>
      </c>
      <c r="J2" t="s">
        <v>15</v>
      </c>
    </row>
    <row r="3" spans="1:10">
      <c r="A3" t="s">
        <v>16</v>
      </c>
      <c r="B3" t="s">
        <v>11</v>
      </c>
      <c r="C3">
        <v>27</v>
      </c>
      <c r="D3" t="s">
        <v>17</v>
      </c>
      <c r="E3" t="s">
        <v>18</v>
      </c>
      <c r="F3" t="s">
        <v>14</v>
      </c>
      <c r="G3" s="2">
        <v>615000</v>
      </c>
      <c r="H3" s="3">
        <v>0</v>
      </c>
      <c r="I3" s="3">
        <v>29</v>
      </c>
      <c r="J3" t="s">
        <v>15</v>
      </c>
    </row>
    <row r="4" spans="1:10">
      <c r="A4" t="s">
        <v>19</v>
      </c>
      <c r="B4" t="s">
        <v>11</v>
      </c>
      <c r="C4">
        <v>27</v>
      </c>
      <c r="D4" t="s">
        <v>17</v>
      </c>
      <c r="E4" t="s">
        <v>20</v>
      </c>
      <c r="F4" t="s">
        <v>21</v>
      </c>
      <c r="G4" s="2">
        <v>405000</v>
      </c>
      <c r="H4" s="3">
        <v>1</v>
      </c>
      <c r="I4" s="3">
        <v>15</v>
      </c>
      <c r="J4" t="s">
        <v>15</v>
      </c>
    </row>
    <row r="5" spans="1:10">
      <c r="A5" t="s">
        <v>22</v>
      </c>
      <c r="B5" t="s">
        <v>23</v>
      </c>
      <c r="C5">
        <v>24</v>
      </c>
      <c r="D5" t="s">
        <v>12</v>
      </c>
      <c r="E5" t="s">
        <v>13</v>
      </c>
      <c r="F5" t="s">
        <v>24</v>
      </c>
      <c r="G5" s="2">
        <v>325000</v>
      </c>
      <c r="H5" s="3">
        <v>0</v>
      </c>
      <c r="I5" s="3">
        <v>19</v>
      </c>
      <c r="J5" t="s">
        <v>15</v>
      </c>
    </row>
    <row r="6" spans="1:10">
      <c r="A6" t="s">
        <v>25</v>
      </c>
      <c r="B6" t="s">
        <v>23</v>
      </c>
      <c r="C6">
        <v>52</v>
      </c>
      <c r="D6" t="s">
        <v>12</v>
      </c>
      <c r="E6" t="s">
        <v>13</v>
      </c>
      <c r="F6" t="s">
        <v>26</v>
      </c>
      <c r="G6" s="2">
        <v>1885000</v>
      </c>
      <c r="H6" s="3">
        <v>1</v>
      </c>
      <c r="I6" s="3">
        <v>70</v>
      </c>
      <c r="J6" t="s">
        <v>15</v>
      </c>
    </row>
    <row r="7" spans="1:10">
      <c r="A7" t="s">
        <v>27</v>
      </c>
      <c r="B7" t="s">
        <v>11</v>
      </c>
      <c r="C7">
        <v>22</v>
      </c>
      <c r="D7" t="s">
        <v>28</v>
      </c>
      <c r="E7" t="s">
        <v>20</v>
      </c>
      <c r="F7" t="s">
        <v>24</v>
      </c>
      <c r="G7" s="2">
        <v>375000</v>
      </c>
      <c r="H7" s="3">
        <v>1</v>
      </c>
      <c r="I7" s="3">
        <v>15</v>
      </c>
      <c r="J7" t="s">
        <v>29</v>
      </c>
    </row>
    <row r="8" spans="1:10">
      <c r="A8" t="s">
        <v>30</v>
      </c>
      <c r="B8" t="s">
        <v>23</v>
      </c>
      <c r="C8">
        <v>23</v>
      </c>
      <c r="D8" t="s">
        <v>12</v>
      </c>
      <c r="E8" t="s">
        <v>31</v>
      </c>
      <c r="F8" t="s">
        <v>24</v>
      </c>
      <c r="G8" s="2">
        <v>355000</v>
      </c>
      <c r="H8" s="3">
        <v>1</v>
      </c>
      <c r="I8" s="3">
        <v>30</v>
      </c>
      <c r="J8" t="s">
        <v>29</v>
      </c>
    </row>
    <row r="9" spans="1:10">
      <c r="A9" t="s">
        <v>32</v>
      </c>
      <c r="B9" t="s">
        <v>23</v>
      </c>
      <c r="C9">
        <v>30</v>
      </c>
      <c r="D9" t="s">
        <v>12</v>
      </c>
      <c r="E9" t="s">
        <v>20</v>
      </c>
      <c r="F9" t="s">
        <v>14</v>
      </c>
      <c r="G9" s="2">
        <v>685000</v>
      </c>
      <c r="H9" s="3">
        <v>0</v>
      </c>
      <c r="I9" s="3">
        <v>32</v>
      </c>
      <c r="J9" t="s">
        <v>29</v>
      </c>
    </row>
    <row r="10" spans="1:10">
      <c r="A10" t="s">
        <v>33</v>
      </c>
      <c r="B10" t="s">
        <v>11</v>
      </c>
      <c r="C10">
        <v>43</v>
      </c>
      <c r="D10" t="s">
        <v>17</v>
      </c>
      <c r="E10" t="s">
        <v>20</v>
      </c>
      <c r="F10" t="s">
        <v>34</v>
      </c>
      <c r="G10" s="2">
        <v>960000</v>
      </c>
      <c r="H10" s="3">
        <v>0</v>
      </c>
      <c r="I10" s="3">
        <v>22</v>
      </c>
      <c r="J10" t="s">
        <v>15</v>
      </c>
    </row>
    <row r="11" spans="1:10">
      <c r="A11" t="s">
        <v>35</v>
      </c>
      <c r="B11" t="s">
        <v>11</v>
      </c>
      <c r="C11">
        <v>30</v>
      </c>
      <c r="D11" t="s">
        <v>17</v>
      </c>
      <c r="E11" t="s">
        <v>36</v>
      </c>
      <c r="F11" t="s">
        <v>21</v>
      </c>
      <c r="G11" s="2">
        <v>605000</v>
      </c>
      <c r="H11" s="3">
        <v>1</v>
      </c>
      <c r="I11" s="3">
        <v>30</v>
      </c>
      <c r="J11" t="s">
        <v>15</v>
      </c>
    </row>
    <row r="12" spans="1:10">
      <c r="A12" t="s">
        <v>37</v>
      </c>
      <c r="B12" t="s">
        <v>11</v>
      </c>
      <c r="C12">
        <v>37</v>
      </c>
      <c r="D12" t="s">
        <v>17</v>
      </c>
      <c r="E12" t="s">
        <v>13</v>
      </c>
      <c r="F12" t="s">
        <v>34</v>
      </c>
      <c r="G12" s="2">
        <v>1320000</v>
      </c>
      <c r="H12" s="3">
        <v>0</v>
      </c>
      <c r="I12" s="3">
        <v>28</v>
      </c>
      <c r="J12" t="s">
        <v>15</v>
      </c>
    </row>
    <row r="13" spans="1:10">
      <c r="A13" t="s">
        <v>38</v>
      </c>
      <c r="B13" t="s">
        <v>23</v>
      </c>
      <c r="C13">
        <v>22</v>
      </c>
      <c r="D13" t="s">
        <v>28</v>
      </c>
      <c r="E13" t="s">
        <v>36</v>
      </c>
      <c r="F13" t="s">
        <v>24</v>
      </c>
      <c r="G13" s="2">
        <v>480000</v>
      </c>
      <c r="H13" s="3">
        <v>0</v>
      </c>
      <c r="I13" s="3">
        <v>10</v>
      </c>
      <c r="J13" t="s">
        <v>15</v>
      </c>
    </row>
    <row r="14" spans="1:10">
      <c r="A14" t="s">
        <v>39</v>
      </c>
      <c r="B14" t="s">
        <v>23</v>
      </c>
      <c r="C14">
        <v>40</v>
      </c>
      <c r="D14" t="s">
        <v>12</v>
      </c>
      <c r="E14" t="s">
        <v>20</v>
      </c>
      <c r="F14" t="s">
        <v>26</v>
      </c>
      <c r="G14" s="2">
        <v>2515000</v>
      </c>
      <c r="H14" s="3">
        <v>2</v>
      </c>
      <c r="I14" s="3">
        <v>73</v>
      </c>
      <c r="J14" t="s">
        <v>29</v>
      </c>
    </row>
    <row r="15" spans="1:10">
      <c r="A15" t="s">
        <v>40</v>
      </c>
      <c r="B15" t="s">
        <v>23</v>
      </c>
      <c r="C15">
        <v>24</v>
      </c>
      <c r="D15" t="s">
        <v>28</v>
      </c>
      <c r="E15" t="s">
        <v>13</v>
      </c>
      <c r="F15" t="s">
        <v>24</v>
      </c>
      <c r="G15" s="2">
        <v>340000</v>
      </c>
      <c r="H15" s="3">
        <v>0</v>
      </c>
      <c r="I15" s="3">
        <v>16</v>
      </c>
      <c r="J15" t="s">
        <v>29</v>
      </c>
    </row>
    <row r="16" spans="1:10">
      <c r="A16" t="s">
        <v>41</v>
      </c>
      <c r="B16" t="s">
        <v>23</v>
      </c>
      <c r="C16">
        <v>44</v>
      </c>
      <c r="D16" t="s">
        <v>28</v>
      </c>
      <c r="E16" t="s">
        <v>42</v>
      </c>
      <c r="F16" t="s">
        <v>43</v>
      </c>
      <c r="G16" s="2">
        <v>1970000</v>
      </c>
      <c r="H16" s="3">
        <v>1</v>
      </c>
      <c r="I16" s="3">
        <v>37</v>
      </c>
      <c r="J16" t="s">
        <v>15</v>
      </c>
    </row>
    <row r="17" spans="1:10">
      <c r="A17" t="s">
        <v>44</v>
      </c>
      <c r="B17" t="s">
        <v>23</v>
      </c>
      <c r="C17">
        <v>34</v>
      </c>
      <c r="D17" t="s">
        <v>28</v>
      </c>
      <c r="E17" t="s">
        <v>42</v>
      </c>
      <c r="F17" t="s">
        <v>14</v>
      </c>
      <c r="G17" s="2">
        <v>610000</v>
      </c>
      <c r="H17" s="3">
        <v>0</v>
      </c>
      <c r="I17" s="3">
        <v>38</v>
      </c>
      <c r="J17" t="s">
        <v>29</v>
      </c>
    </row>
    <row r="18" spans="1:10">
      <c r="A18" t="s">
        <v>45</v>
      </c>
      <c r="B18" t="s">
        <v>23</v>
      </c>
      <c r="C18">
        <v>24</v>
      </c>
      <c r="D18" t="s">
        <v>12</v>
      </c>
      <c r="E18" t="s">
        <v>31</v>
      </c>
      <c r="F18" t="s">
        <v>21</v>
      </c>
      <c r="G18" s="2">
        <v>445000</v>
      </c>
      <c r="H18" s="3">
        <v>1</v>
      </c>
      <c r="I18" s="3">
        <v>36</v>
      </c>
      <c r="J18" t="s">
        <v>15</v>
      </c>
    </row>
    <row r="19" spans="1:10">
      <c r="A19" t="s">
        <v>46</v>
      </c>
      <c r="B19" t="s">
        <v>11</v>
      </c>
      <c r="C19">
        <v>39</v>
      </c>
      <c r="D19" t="s">
        <v>28</v>
      </c>
      <c r="E19" t="s">
        <v>47</v>
      </c>
      <c r="F19" t="s">
        <v>34</v>
      </c>
      <c r="G19" s="2">
        <v>1075000</v>
      </c>
      <c r="H19" s="3">
        <v>0</v>
      </c>
      <c r="I19" s="3">
        <v>58</v>
      </c>
      <c r="J19" t="s">
        <v>15</v>
      </c>
    </row>
    <row r="20" spans="1:10">
      <c r="A20" t="s">
        <v>48</v>
      </c>
      <c r="B20" t="s">
        <v>11</v>
      </c>
      <c r="C20">
        <v>37</v>
      </c>
      <c r="D20" t="s">
        <v>17</v>
      </c>
      <c r="E20" t="s">
        <v>42</v>
      </c>
      <c r="F20" t="s">
        <v>34</v>
      </c>
      <c r="G20" s="2">
        <v>1290000</v>
      </c>
      <c r="H20" s="3">
        <v>1</v>
      </c>
      <c r="I20" s="3">
        <v>53</v>
      </c>
      <c r="J20" t="s">
        <v>15</v>
      </c>
    </row>
    <row r="21" spans="1:10">
      <c r="A21" t="s">
        <v>49</v>
      </c>
      <c r="B21" t="s">
        <v>11</v>
      </c>
      <c r="C21">
        <v>30</v>
      </c>
      <c r="D21" t="s">
        <v>17</v>
      </c>
      <c r="E21" t="s">
        <v>42</v>
      </c>
      <c r="F21" t="s">
        <v>14</v>
      </c>
      <c r="G21" s="2">
        <v>910000</v>
      </c>
      <c r="H21" s="3">
        <v>0</v>
      </c>
      <c r="I21" s="3">
        <v>19</v>
      </c>
      <c r="J21" t="s">
        <v>15</v>
      </c>
    </row>
    <row r="22" spans="1:10">
      <c r="A22" t="s">
        <v>50</v>
      </c>
      <c r="B22" t="s">
        <v>23</v>
      </c>
      <c r="C22">
        <v>37</v>
      </c>
      <c r="D22" t="s">
        <v>12</v>
      </c>
      <c r="E22" t="s">
        <v>51</v>
      </c>
      <c r="F22" t="s">
        <v>43</v>
      </c>
      <c r="G22" s="2">
        <v>1840000</v>
      </c>
      <c r="H22" s="3">
        <v>0</v>
      </c>
      <c r="I22" s="3">
        <v>67</v>
      </c>
      <c r="J22" t="s">
        <v>15</v>
      </c>
    </row>
    <row r="23" spans="1:10">
      <c r="A23" t="s">
        <v>52</v>
      </c>
      <c r="B23" t="s">
        <v>11</v>
      </c>
      <c r="C23">
        <v>30</v>
      </c>
      <c r="D23" t="s">
        <v>28</v>
      </c>
      <c r="E23" t="s">
        <v>42</v>
      </c>
      <c r="F23" t="s">
        <v>21</v>
      </c>
      <c r="G23" s="2">
        <v>615000</v>
      </c>
      <c r="H23" s="3">
        <v>0</v>
      </c>
      <c r="I23" s="3">
        <v>13</v>
      </c>
      <c r="J23" t="s">
        <v>15</v>
      </c>
    </row>
    <row r="24" spans="1:10">
      <c r="A24" t="s">
        <v>53</v>
      </c>
      <c r="B24" t="s">
        <v>11</v>
      </c>
      <c r="C24">
        <v>41</v>
      </c>
      <c r="D24" t="s">
        <v>17</v>
      </c>
      <c r="E24" t="s">
        <v>51</v>
      </c>
      <c r="F24" t="s">
        <v>34</v>
      </c>
      <c r="G24" s="2">
        <v>1005000</v>
      </c>
      <c r="H24" s="3">
        <v>0</v>
      </c>
      <c r="I24" s="3">
        <v>41</v>
      </c>
      <c r="J24" t="s">
        <v>15</v>
      </c>
    </row>
    <row r="25" spans="1:10">
      <c r="A25" t="s">
        <v>54</v>
      </c>
      <c r="B25" t="s">
        <v>23</v>
      </c>
      <c r="C25">
        <v>22</v>
      </c>
      <c r="D25" t="s">
        <v>12</v>
      </c>
      <c r="E25" t="s">
        <v>42</v>
      </c>
      <c r="F25" t="s">
        <v>24</v>
      </c>
      <c r="G25" s="2">
        <v>375000</v>
      </c>
      <c r="H25" s="3">
        <v>0</v>
      </c>
      <c r="I25" s="3">
        <v>10</v>
      </c>
      <c r="J25" t="s">
        <v>15</v>
      </c>
    </row>
    <row r="26" spans="1:10">
      <c r="A26" t="s">
        <v>55</v>
      </c>
      <c r="B26" t="s">
        <v>23</v>
      </c>
      <c r="C26">
        <v>39</v>
      </c>
      <c r="D26" t="s">
        <v>17</v>
      </c>
      <c r="E26" t="s">
        <v>18</v>
      </c>
      <c r="F26" t="s">
        <v>34</v>
      </c>
      <c r="G26" s="2">
        <v>915000</v>
      </c>
      <c r="H26" s="3">
        <v>3</v>
      </c>
      <c r="I26" s="3">
        <v>35</v>
      </c>
      <c r="J26" t="s">
        <v>15</v>
      </c>
    </row>
    <row r="27" spans="1:10">
      <c r="A27" t="s">
        <v>56</v>
      </c>
      <c r="B27" t="s">
        <v>23</v>
      </c>
      <c r="C27">
        <v>40</v>
      </c>
      <c r="D27" t="s">
        <v>28</v>
      </c>
      <c r="E27" t="s">
        <v>18</v>
      </c>
      <c r="F27" t="s">
        <v>43</v>
      </c>
      <c r="G27" s="2">
        <v>1695000</v>
      </c>
      <c r="H27" s="3">
        <v>0</v>
      </c>
      <c r="I27" s="3">
        <v>49</v>
      </c>
      <c r="J27" t="s">
        <v>15</v>
      </c>
    </row>
    <row r="28" spans="1:10">
      <c r="A28" t="s">
        <v>57</v>
      </c>
      <c r="B28" t="s">
        <v>11</v>
      </c>
      <c r="C28">
        <v>42</v>
      </c>
      <c r="D28" t="s">
        <v>58</v>
      </c>
      <c r="E28" t="s">
        <v>42</v>
      </c>
      <c r="F28" t="s">
        <v>34</v>
      </c>
      <c r="G28" s="2">
        <v>1485000</v>
      </c>
      <c r="H28" s="3">
        <v>1</v>
      </c>
      <c r="I28" s="3">
        <v>51</v>
      </c>
      <c r="J28" t="s">
        <v>15</v>
      </c>
    </row>
    <row r="29" spans="1:10">
      <c r="A29" t="s">
        <v>59</v>
      </c>
      <c r="B29" t="s">
        <v>23</v>
      </c>
      <c r="C29">
        <v>31</v>
      </c>
      <c r="D29" t="s">
        <v>17</v>
      </c>
      <c r="E29" t="s">
        <v>13</v>
      </c>
      <c r="F29" t="s">
        <v>34</v>
      </c>
      <c r="G29" s="2">
        <v>955000</v>
      </c>
      <c r="H29" s="3">
        <v>1</v>
      </c>
      <c r="I29" s="3">
        <v>52</v>
      </c>
      <c r="J29" t="s">
        <v>29</v>
      </c>
    </row>
    <row r="30" spans="1:10">
      <c r="A30" t="s">
        <v>60</v>
      </c>
      <c r="B30" t="s">
        <v>61</v>
      </c>
      <c r="C30">
        <v>37</v>
      </c>
      <c r="D30" t="s">
        <v>12</v>
      </c>
      <c r="E30" t="s">
        <v>42</v>
      </c>
      <c r="F30" t="s">
        <v>43</v>
      </c>
      <c r="G30" s="2">
        <v>1925000</v>
      </c>
      <c r="H30" s="3">
        <v>0</v>
      </c>
      <c r="I30" s="3">
        <v>40</v>
      </c>
      <c r="J30" t="s">
        <v>15</v>
      </c>
    </row>
    <row r="31" spans="1:10">
      <c r="A31" t="s">
        <v>62</v>
      </c>
      <c r="B31" t="s">
        <v>11</v>
      </c>
      <c r="C31">
        <v>33</v>
      </c>
      <c r="D31" t="s">
        <v>12</v>
      </c>
      <c r="E31" t="s">
        <v>20</v>
      </c>
      <c r="F31" t="s">
        <v>14</v>
      </c>
      <c r="G31" s="2">
        <v>945000</v>
      </c>
      <c r="H31" s="3">
        <v>1</v>
      </c>
      <c r="I31" s="3">
        <v>48</v>
      </c>
      <c r="J31" t="s">
        <v>15</v>
      </c>
    </row>
    <row r="32" spans="1:10">
      <c r="A32" t="s">
        <v>63</v>
      </c>
      <c r="B32" t="s">
        <v>23</v>
      </c>
      <c r="C32">
        <v>29</v>
      </c>
      <c r="D32" t="s">
        <v>58</v>
      </c>
      <c r="E32" t="s">
        <v>42</v>
      </c>
      <c r="F32" t="s">
        <v>21</v>
      </c>
      <c r="G32" s="2">
        <v>470000</v>
      </c>
      <c r="H32" s="3">
        <v>1</v>
      </c>
      <c r="I32" s="3">
        <v>19</v>
      </c>
      <c r="J32" t="s">
        <v>15</v>
      </c>
    </row>
    <row r="33" spans="1:10">
      <c r="A33" t="s">
        <v>64</v>
      </c>
      <c r="B33" t="s">
        <v>11</v>
      </c>
      <c r="C33">
        <v>36</v>
      </c>
      <c r="D33" t="s">
        <v>28</v>
      </c>
      <c r="E33" t="s">
        <v>13</v>
      </c>
      <c r="F33" t="s">
        <v>14</v>
      </c>
      <c r="G33" s="2">
        <v>650000</v>
      </c>
      <c r="H33" s="3">
        <v>0</v>
      </c>
      <c r="I33" s="3">
        <v>28</v>
      </c>
      <c r="J33" t="s">
        <v>15</v>
      </c>
    </row>
    <row r="34" spans="1:10">
      <c r="A34" t="s">
        <v>65</v>
      </c>
      <c r="B34" t="s">
        <v>23</v>
      </c>
      <c r="C34">
        <v>46</v>
      </c>
      <c r="D34" t="s">
        <v>66</v>
      </c>
      <c r="E34" t="s">
        <v>42</v>
      </c>
      <c r="F34" t="s">
        <v>43</v>
      </c>
      <c r="G34" s="2">
        <v>1600000</v>
      </c>
      <c r="H34" s="3">
        <v>0</v>
      </c>
      <c r="I34" s="3">
        <v>59</v>
      </c>
      <c r="J34" t="s">
        <v>15</v>
      </c>
    </row>
    <row r="35" spans="1:10">
      <c r="A35" t="s">
        <v>67</v>
      </c>
      <c r="B35" t="s">
        <v>11</v>
      </c>
      <c r="C35">
        <v>39</v>
      </c>
      <c r="D35" t="s">
        <v>17</v>
      </c>
      <c r="E35" t="s">
        <v>13</v>
      </c>
      <c r="F35" t="s">
        <v>34</v>
      </c>
      <c r="G35" s="2">
        <v>1215000</v>
      </c>
      <c r="H35" s="3">
        <v>3</v>
      </c>
      <c r="I35" s="3">
        <v>26</v>
      </c>
      <c r="J35" t="s">
        <v>29</v>
      </c>
    </row>
    <row r="36" spans="1:10">
      <c r="A36" t="s">
        <v>68</v>
      </c>
      <c r="B36" t="s">
        <v>11</v>
      </c>
      <c r="C36">
        <v>33</v>
      </c>
      <c r="D36" t="s">
        <v>12</v>
      </c>
      <c r="E36" t="s">
        <v>36</v>
      </c>
      <c r="F36" t="s">
        <v>34</v>
      </c>
      <c r="G36" s="2">
        <v>1185000</v>
      </c>
      <c r="H36" s="3">
        <v>0</v>
      </c>
      <c r="I36" s="3">
        <v>33</v>
      </c>
      <c r="J36" t="s">
        <v>15</v>
      </c>
    </row>
    <row r="37" spans="1:10">
      <c r="A37" t="s">
        <v>69</v>
      </c>
      <c r="B37" t="s">
        <v>11</v>
      </c>
      <c r="C37">
        <v>31</v>
      </c>
      <c r="D37" t="s">
        <v>28</v>
      </c>
      <c r="E37" t="s">
        <v>31</v>
      </c>
      <c r="F37" t="s">
        <v>14</v>
      </c>
      <c r="G37" s="2">
        <v>625000</v>
      </c>
      <c r="H37" s="3">
        <v>0</v>
      </c>
      <c r="I37" s="3">
        <v>42</v>
      </c>
      <c r="J37" t="s">
        <v>15</v>
      </c>
    </row>
    <row r="38" spans="1:10">
      <c r="A38" t="s">
        <v>70</v>
      </c>
      <c r="B38" t="s">
        <v>23</v>
      </c>
      <c r="C38">
        <v>31</v>
      </c>
      <c r="D38" t="s">
        <v>17</v>
      </c>
      <c r="E38" t="s">
        <v>31</v>
      </c>
      <c r="F38" t="s">
        <v>14</v>
      </c>
      <c r="G38" s="2">
        <v>685000</v>
      </c>
      <c r="H38" s="3">
        <v>1</v>
      </c>
      <c r="I38" s="3">
        <v>50</v>
      </c>
      <c r="J38" t="s">
        <v>15</v>
      </c>
    </row>
    <row r="39" spans="1:10">
      <c r="A39" t="s">
        <v>71</v>
      </c>
      <c r="B39" t="s">
        <v>11</v>
      </c>
      <c r="C39">
        <v>32</v>
      </c>
      <c r="D39" t="s">
        <v>58</v>
      </c>
      <c r="E39" t="s">
        <v>42</v>
      </c>
      <c r="F39" t="s">
        <v>14</v>
      </c>
      <c r="G39" s="2">
        <v>905000</v>
      </c>
      <c r="H39" s="3">
        <v>1</v>
      </c>
      <c r="I39" s="3">
        <v>42</v>
      </c>
      <c r="J39" t="s">
        <v>15</v>
      </c>
    </row>
    <row r="40" spans="1:10">
      <c r="A40" t="s">
        <v>72</v>
      </c>
      <c r="B40" t="s">
        <v>23</v>
      </c>
      <c r="C40">
        <v>41</v>
      </c>
      <c r="D40" t="s">
        <v>28</v>
      </c>
      <c r="E40" t="s">
        <v>31</v>
      </c>
      <c r="F40" t="s">
        <v>43</v>
      </c>
      <c r="G40" s="2">
        <v>1560000</v>
      </c>
      <c r="H40" s="3">
        <v>1</v>
      </c>
      <c r="I40" s="3">
        <v>47</v>
      </c>
      <c r="J40" t="s">
        <v>15</v>
      </c>
    </row>
    <row r="41" spans="1:10">
      <c r="A41" t="s">
        <v>73</v>
      </c>
      <c r="B41" t="s">
        <v>11</v>
      </c>
      <c r="C41">
        <v>42</v>
      </c>
      <c r="D41" t="s">
        <v>12</v>
      </c>
      <c r="E41" t="s">
        <v>20</v>
      </c>
      <c r="F41" t="s">
        <v>43</v>
      </c>
      <c r="G41" s="2">
        <v>1470000</v>
      </c>
      <c r="H41" s="3">
        <v>3</v>
      </c>
      <c r="I41" s="3">
        <v>36</v>
      </c>
      <c r="J41" t="s">
        <v>29</v>
      </c>
    </row>
    <row r="42" spans="1:10">
      <c r="A42" t="s">
        <v>74</v>
      </c>
      <c r="B42" t="s">
        <v>11</v>
      </c>
      <c r="C42">
        <v>37</v>
      </c>
      <c r="D42" t="s">
        <v>28</v>
      </c>
      <c r="E42" t="s">
        <v>47</v>
      </c>
      <c r="F42" t="s">
        <v>34</v>
      </c>
      <c r="G42" s="2">
        <v>1160000</v>
      </c>
      <c r="H42" s="3">
        <v>0</v>
      </c>
      <c r="I42" s="3">
        <v>26</v>
      </c>
      <c r="J42" t="s">
        <v>15</v>
      </c>
    </row>
    <row r="43" spans="1:10">
      <c r="A43" t="s">
        <v>75</v>
      </c>
      <c r="B43" t="s">
        <v>23</v>
      </c>
      <c r="C43">
        <v>38</v>
      </c>
      <c r="D43" t="s">
        <v>28</v>
      </c>
      <c r="E43" t="s">
        <v>36</v>
      </c>
      <c r="F43" t="s">
        <v>34</v>
      </c>
      <c r="G43" s="2">
        <v>1265000</v>
      </c>
      <c r="H43" s="3">
        <v>0</v>
      </c>
      <c r="I43" s="3">
        <v>34</v>
      </c>
      <c r="J43" t="s">
        <v>15</v>
      </c>
    </row>
    <row r="44" spans="1:10">
      <c r="A44" t="s">
        <v>76</v>
      </c>
      <c r="B44" t="s">
        <v>23</v>
      </c>
      <c r="C44">
        <v>43</v>
      </c>
      <c r="D44" t="s">
        <v>28</v>
      </c>
      <c r="E44" t="s">
        <v>42</v>
      </c>
      <c r="F44" t="s">
        <v>43</v>
      </c>
      <c r="G44" s="2">
        <v>1670000</v>
      </c>
      <c r="H44" s="3">
        <v>1</v>
      </c>
      <c r="I44" s="3">
        <v>50</v>
      </c>
      <c r="J44" t="s">
        <v>15</v>
      </c>
    </row>
    <row r="45" spans="1:10">
      <c r="A45" t="s">
        <v>77</v>
      </c>
      <c r="B45" t="s">
        <v>23</v>
      </c>
      <c r="C45">
        <v>23</v>
      </c>
      <c r="D45" t="s">
        <v>28</v>
      </c>
      <c r="E45" t="s">
        <v>20</v>
      </c>
      <c r="F45" t="s">
        <v>24</v>
      </c>
      <c r="G45" s="2">
        <v>345000</v>
      </c>
      <c r="H45" s="3">
        <v>0</v>
      </c>
      <c r="I45" s="3">
        <v>16</v>
      </c>
      <c r="J45" t="s">
        <v>15</v>
      </c>
    </row>
    <row r="46" spans="1:10">
      <c r="A46" t="s">
        <v>78</v>
      </c>
      <c r="B46" t="s">
        <v>23</v>
      </c>
      <c r="C46">
        <v>35</v>
      </c>
      <c r="D46" t="s">
        <v>17</v>
      </c>
      <c r="E46" t="s">
        <v>47</v>
      </c>
      <c r="F46" t="s">
        <v>14</v>
      </c>
      <c r="G46" s="2">
        <v>660000</v>
      </c>
      <c r="H46" s="3">
        <v>0</v>
      </c>
      <c r="I46" s="3">
        <v>27</v>
      </c>
      <c r="J46" t="s">
        <v>15</v>
      </c>
    </row>
    <row r="47" spans="1:10">
      <c r="A47" t="s">
        <v>79</v>
      </c>
      <c r="B47" t="s">
        <v>23</v>
      </c>
      <c r="C47">
        <v>24</v>
      </c>
      <c r="D47" t="s">
        <v>28</v>
      </c>
      <c r="E47" t="s">
        <v>36</v>
      </c>
      <c r="F47" t="s">
        <v>21</v>
      </c>
      <c r="G47" s="2">
        <v>575000</v>
      </c>
      <c r="H47" s="3">
        <v>0</v>
      </c>
      <c r="I47" s="3">
        <v>31</v>
      </c>
      <c r="J47" t="s">
        <v>15</v>
      </c>
    </row>
    <row r="48" spans="1:10">
      <c r="A48" t="s">
        <v>80</v>
      </c>
      <c r="B48" t="s">
        <v>11</v>
      </c>
      <c r="C48">
        <v>36</v>
      </c>
      <c r="D48" t="s">
        <v>58</v>
      </c>
      <c r="E48" t="s">
        <v>31</v>
      </c>
      <c r="F48" t="s">
        <v>34</v>
      </c>
      <c r="G48" s="2">
        <v>1320000</v>
      </c>
      <c r="H48" s="3">
        <v>1</v>
      </c>
      <c r="I48" s="3">
        <v>55</v>
      </c>
      <c r="J48" t="s">
        <v>15</v>
      </c>
    </row>
    <row r="49" spans="1:10">
      <c r="A49" t="s">
        <v>81</v>
      </c>
      <c r="B49" t="s">
        <v>11</v>
      </c>
      <c r="C49">
        <v>31</v>
      </c>
      <c r="D49" t="s">
        <v>58</v>
      </c>
      <c r="E49" t="s">
        <v>20</v>
      </c>
      <c r="F49" t="s">
        <v>14</v>
      </c>
      <c r="G49" s="2">
        <v>815000</v>
      </c>
      <c r="H49" s="3">
        <v>1</v>
      </c>
      <c r="I49" s="3">
        <v>15</v>
      </c>
      <c r="J49" t="s">
        <v>15</v>
      </c>
    </row>
    <row r="50" spans="1:10">
      <c r="A50" t="s">
        <v>82</v>
      </c>
      <c r="B50" t="s">
        <v>61</v>
      </c>
      <c r="C50">
        <v>34</v>
      </c>
      <c r="D50" t="s">
        <v>12</v>
      </c>
      <c r="E50" t="s">
        <v>13</v>
      </c>
      <c r="F50" t="s">
        <v>14</v>
      </c>
      <c r="G50" s="2">
        <v>955000</v>
      </c>
      <c r="H50" s="3">
        <v>0</v>
      </c>
      <c r="I50" s="3">
        <v>45</v>
      </c>
      <c r="J50" t="s">
        <v>15</v>
      </c>
    </row>
    <row r="51" spans="1:10">
      <c r="A51" t="s">
        <v>83</v>
      </c>
      <c r="B51" t="s">
        <v>11</v>
      </c>
      <c r="C51">
        <v>28</v>
      </c>
      <c r="D51" t="s">
        <v>58</v>
      </c>
      <c r="E51" t="s">
        <v>31</v>
      </c>
      <c r="F51" t="s">
        <v>21</v>
      </c>
      <c r="G51" s="2">
        <v>450000</v>
      </c>
      <c r="H51" s="3">
        <v>1</v>
      </c>
      <c r="I51" s="3">
        <v>34</v>
      </c>
      <c r="J51" t="s">
        <v>15</v>
      </c>
    </row>
    <row r="52" spans="1:10">
      <c r="A52" t="s">
        <v>84</v>
      </c>
      <c r="B52" t="s">
        <v>23</v>
      </c>
      <c r="C52">
        <v>22</v>
      </c>
      <c r="D52" t="s">
        <v>12</v>
      </c>
      <c r="E52" t="s">
        <v>18</v>
      </c>
      <c r="F52" t="s">
        <v>24</v>
      </c>
      <c r="G52" s="2">
        <v>425000</v>
      </c>
      <c r="H52" s="3">
        <v>0</v>
      </c>
      <c r="I52" s="3">
        <v>10</v>
      </c>
      <c r="J52" t="s">
        <v>15</v>
      </c>
    </row>
    <row r="53" spans="1:10">
      <c r="A53" t="s">
        <v>85</v>
      </c>
      <c r="B53" t="s">
        <v>23</v>
      </c>
      <c r="C53">
        <v>30</v>
      </c>
      <c r="D53" t="s">
        <v>58</v>
      </c>
      <c r="E53" t="s">
        <v>18</v>
      </c>
      <c r="F53" t="s">
        <v>14</v>
      </c>
      <c r="G53" s="2">
        <v>675000</v>
      </c>
      <c r="H53" s="3">
        <v>1</v>
      </c>
      <c r="I53" s="3">
        <v>15</v>
      </c>
      <c r="J53" t="s">
        <v>29</v>
      </c>
    </row>
    <row r="54" spans="1:10">
      <c r="A54" t="s">
        <v>86</v>
      </c>
      <c r="B54" t="s">
        <v>11</v>
      </c>
      <c r="C54">
        <v>31</v>
      </c>
      <c r="D54" t="s">
        <v>17</v>
      </c>
      <c r="E54" t="s">
        <v>51</v>
      </c>
      <c r="F54" t="s">
        <v>21</v>
      </c>
      <c r="G54" s="2">
        <v>645000</v>
      </c>
      <c r="H54" s="3">
        <v>0</v>
      </c>
      <c r="I54" s="3">
        <v>17</v>
      </c>
      <c r="J54" t="s">
        <v>29</v>
      </c>
    </row>
    <row r="55" spans="1:10">
      <c r="A55" t="s">
        <v>87</v>
      </c>
      <c r="B55" t="s">
        <v>23</v>
      </c>
      <c r="C55">
        <v>39</v>
      </c>
      <c r="D55" t="s">
        <v>28</v>
      </c>
      <c r="E55" t="s">
        <v>51</v>
      </c>
      <c r="F55" t="s">
        <v>34</v>
      </c>
      <c r="G55" s="2">
        <v>1235000</v>
      </c>
      <c r="H55" s="3">
        <v>3</v>
      </c>
      <c r="I55" s="3">
        <v>48</v>
      </c>
      <c r="J55" t="s">
        <v>15</v>
      </c>
    </row>
    <row r="56" spans="1:10">
      <c r="A56" t="s">
        <v>88</v>
      </c>
      <c r="B56" t="s">
        <v>11</v>
      </c>
      <c r="C56">
        <v>50</v>
      </c>
      <c r="D56" t="s">
        <v>12</v>
      </c>
      <c r="E56" t="s">
        <v>51</v>
      </c>
      <c r="F56" t="s">
        <v>43</v>
      </c>
      <c r="G56" s="2">
        <v>1770000</v>
      </c>
      <c r="H56" s="3">
        <v>0</v>
      </c>
      <c r="I56" s="3">
        <v>40</v>
      </c>
      <c r="J56" t="s">
        <v>15</v>
      </c>
    </row>
    <row r="57" spans="1:10">
      <c r="A57" t="s">
        <v>89</v>
      </c>
      <c r="B57" t="s">
        <v>11</v>
      </c>
      <c r="C57">
        <v>31</v>
      </c>
      <c r="D57" t="s">
        <v>58</v>
      </c>
      <c r="E57" t="s">
        <v>13</v>
      </c>
      <c r="F57" t="s">
        <v>14</v>
      </c>
      <c r="G57" s="2">
        <v>830000</v>
      </c>
      <c r="H57" s="3">
        <v>0</v>
      </c>
      <c r="I57" s="3">
        <v>33</v>
      </c>
      <c r="J57" t="s">
        <v>15</v>
      </c>
    </row>
    <row r="58" spans="1:10">
      <c r="A58" t="s">
        <v>90</v>
      </c>
      <c r="B58" t="s">
        <v>11</v>
      </c>
      <c r="C58">
        <v>22</v>
      </c>
      <c r="D58" t="s">
        <v>28</v>
      </c>
      <c r="E58" t="s">
        <v>51</v>
      </c>
      <c r="F58" t="s">
        <v>24</v>
      </c>
      <c r="G58" s="2">
        <v>400000</v>
      </c>
      <c r="H58" s="3">
        <v>1</v>
      </c>
      <c r="I58" s="3">
        <v>30</v>
      </c>
      <c r="J58" t="s">
        <v>15</v>
      </c>
    </row>
    <row r="59" spans="1:10">
      <c r="A59" t="s">
        <v>91</v>
      </c>
      <c r="B59" t="s">
        <v>23</v>
      </c>
      <c r="C59">
        <v>30</v>
      </c>
      <c r="D59" t="s">
        <v>28</v>
      </c>
      <c r="E59" t="s">
        <v>42</v>
      </c>
      <c r="F59" t="s">
        <v>14</v>
      </c>
      <c r="G59" s="2">
        <v>820000</v>
      </c>
      <c r="H59" s="3">
        <v>0</v>
      </c>
      <c r="I59" s="3">
        <v>16</v>
      </c>
      <c r="J59" t="s">
        <v>29</v>
      </c>
    </row>
    <row r="60" spans="1:10">
      <c r="A60" t="s">
        <v>92</v>
      </c>
      <c r="B60" t="s">
        <v>23</v>
      </c>
      <c r="C60">
        <v>44</v>
      </c>
      <c r="D60" t="s">
        <v>58</v>
      </c>
      <c r="E60" t="s">
        <v>47</v>
      </c>
      <c r="F60" t="s">
        <v>43</v>
      </c>
      <c r="G60" s="2">
        <v>1710000</v>
      </c>
      <c r="H60" s="3">
        <v>2</v>
      </c>
      <c r="I60" s="3">
        <v>51</v>
      </c>
      <c r="J60" t="s">
        <v>15</v>
      </c>
    </row>
    <row r="61" spans="1:10">
      <c r="A61" t="s">
        <v>93</v>
      </c>
      <c r="B61" t="s">
        <v>23</v>
      </c>
      <c r="C61">
        <v>31</v>
      </c>
      <c r="D61" t="s">
        <v>28</v>
      </c>
      <c r="E61" t="s">
        <v>31</v>
      </c>
      <c r="F61" t="s">
        <v>14</v>
      </c>
      <c r="G61" s="2">
        <v>830000</v>
      </c>
      <c r="H61" s="3">
        <v>0</v>
      </c>
      <c r="I61" s="3">
        <v>39</v>
      </c>
      <c r="J61" t="s">
        <v>15</v>
      </c>
    </row>
    <row r="62" spans="1:10">
      <c r="A62" t="s">
        <v>94</v>
      </c>
      <c r="B62" t="s">
        <v>11</v>
      </c>
      <c r="C62">
        <v>45</v>
      </c>
      <c r="D62" t="s">
        <v>12</v>
      </c>
      <c r="E62" t="s">
        <v>42</v>
      </c>
      <c r="F62" t="s">
        <v>34</v>
      </c>
      <c r="G62" s="2">
        <v>1035000</v>
      </c>
      <c r="H62" s="3">
        <v>3</v>
      </c>
      <c r="I62" s="3">
        <v>54</v>
      </c>
      <c r="J62" t="s">
        <v>15</v>
      </c>
    </row>
    <row r="63" spans="1:10">
      <c r="A63" t="s">
        <v>95</v>
      </c>
      <c r="B63" t="s">
        <v>11</v>
      </c>
      <c r="C63">
        <v>24</v>
      </c>
      <c r="D63" t="s">
        <v>17</v>
      </c>
      <c r="E63" t="s">
        <v>20</v>
      </c>
      <c r="F63" t="s">
        <v>24</v>
      </c>
      <c r="G63" s="2">
        <v>335000</v>
      </c>
      <c r="H63" s="3">
        <v>1</v>
      </c>
      <c r="I63" s="3">
        <v>13</v>
      </c>
      <c r="J63" t="s">
        <v>15</v>
      </c>
    </row>
    <row r="64" spans="1:10">
      <c r="A64" t="s">
        <v>96</v>
      </c>
      <c r="B64" t="s">
        <v>23</v>
      </c>
      <c r="C64">
        <v>29</v>
      </c>
      <c r="D64" t="s">
        <v>28</v>
      </c>
      <c r="E64" t="s">
        <v>42</v>
      </c>
      <c r="F64" t="s">
        <v>21</v>
      </c>
      <c r="G64" s="2">
        <v>545000</v>
      </c>
      <c r="H64" s="3">
        <v>1</v>
      </c>
      <c r="I64" s="3">
        <v>36</v>
      </c>
      <c r="J64" t="s">
        <v>15</v>
      </c>
    </row>
    <row r="65" spans="1:10">
      <c r="A65" t="s">
        <v>97</v>
      </c>
      <c r="B65" t="s">
        <v>11</v>
      </c>
      <c r="C65">
        <v>51</v>
      </c>
      <c r="D65" t="s">
        <v>17</v>
      </c>
      <c r="E65" t="s">
        <v>47</v>
      </c>
      <c r="F65" t="s">
        <v>26</v>
      </c>
      <c r="G65" s="2">
        <v>2035000</v>
      </c>
      <c r="H65" s="3">
        <v>1</v>
      </c>
      <c r="I65" s="3">
        <v>79</v>
      </c>
      <c r="J65" t="s">
        <v>29</v>
      </c>
    </row>
    <row r="66" spans="1:10">
      <c r="A66" t="s">
        <v>98</v>
      </c>
      <c r="B66" t="s">
        <v>23</v>
      </c>
      <c r="C66">
        <v>23</v>
      </c>
      <c r="D66" t="s">
        <v>17</v>
      </c>
      <c r="E66" t="s">
        <v>36</v>
      </c>
      <c r="F66" t="s">
        <v>21</v>
      </c>
      <c r="G66" s="2">
        <v>480000</v>
      </c>
      <c r="H66" s="3">
        <v>0</v>
      </c>
      <c r="I66" s="3">
        <v>25</v>
      </c>
      <c r="J66" t="s">
        <v>15</v>
      </c>
    </row>
    <row r="67" spans="1:10">
      <c r="A67" t="s">
        <v>99</v>
      </c>
      <c r="B67" t="s">
        <v>11</v>
      </c>
      <c r="C67">
        <v>33</v>
      </c>
      <c r="D67" t="s">
        <v>17</v>
      </c>
      <c r="E67" t="s">
        <v>36</v>
      </c>
      <c r="F67" t="s">
        <v>34</v>
      </c>
      <c r="G67" s="2">
        <v>1020000</v>
      </c>
      <c r="H67" s="3">
        <v>2</v>
      </c>
      <c r="I67" s="3">
        <v>30</v>
      </c>
      <c r="J67" t="s">
        <v>29</v>
      </c>
    </row>
    <row r="68" spans="1:10">
      <c r="A68" t="s">
        <v>100</v>
      </c>
      <c r="B68" t="s">
        <v>23</v>
      </c>
      <c r="C68">
        <v>33</v>
      </c>
      <c r="D68" t="s">
        <v>12</v>
      </c>
      <c r="E68" t="s">
        <v>13</v>
      </c>
      <c r="F68" t="s">
        <v>14</v>
      </c>
      <c r="G68" s="2">
        <v>810000</v>
      </c>
      <c r="H68" s="3">
        <v>2</v>
      </c>
      <c r="I68" s="3">
        <v>27</v>
      </c>
      <c r="J68" t="s">
        <v>15</v>
      </c>
    </row>
    <row r="69" spans="1:10">
      <c r="A69" t="s">
        <v>101</v>
      </c>
      <c r="B69" t="s">
        <v>11</v>
      </c>
      <c r="C69">
        <v>35</v>
      </c>
      <c r="D69" t="s">
        <v>28</v>
      </c>
      <c r="E69" t="s">
        <v>20</v>
      </c>
      <c r="F69" t="s">
        <v>34</v>
      </c>
      <c r="G69" s="2">
        <v>1025000</v>
      </c>
      <c r="H69" s="3">
        <v>2</v>
      </c>
      <c r="I69" s="3">
        <v>56</v>
      </c>
      <c r="J69" t="s">
        <v>15</v>
      </c>
    </row>
    <row r="70" spans="1:10">
      <c r="A70" t="s">
        <v>102</v>
      </c>
      <c r="B70" t="s">
        <v>11</v>
      </c>
      <c r="C70">
        <v>26</v>
      </c>
      <c r="D70" t="s">
        <v>58</v>
      </c>
      <c r="E70" t="s">
        <v>51</v>
      </c>
      <c r="F70" t="s">
        <v>24</v>
      </c>
      <c r="G70" s="2">
        <v>390000</v>
      </c>
      <c r="H70" s="3">
        <v>0</v>
      </c>
      <c r="I70" s="3">
        <v>21</v>
      </c>
      <c r="J70" t="s">
        <v>15</v>
      </c>
    </row>
    <row r="71" spans="1:10">
      <c r="A71" t="s">
        <v>103</v>
      </c>
      <c r="B71" t="s">
        <v>23</v>
      </c>
      <c r="C71">
        <v>37</v>
      </c>
      <c r="D71" t="s">
        <v>12</v>
      </c>
      <c r="E71" t="s">
        <v>51</v>
      </c>
      <c r="F71" t="s">
        <v>34</v>
      </c>
      <c r="G71" s="2">
        <v>1085000</v>
      </c>
      <c r="H71" s="3">
        <v>2</v>
      </c>
      <c r="I71" s="3">
        <v>37</v>
      </c>
      <c r="J71" t="s">
        <v>15</v>
      </c>
    </row>
    <row r="72" spans="1:10">
      <c r="A72" t="s">
        <v>104</v>
      </c>
      <c r="B72" t="s">
        <v>11</v>
      </c>
      <c r="C72">
        <v>38</v>
      </c>
      <c r="D72" t="s">
        <v>58</v>
      </c>
      <c r="E72" t="s">
        <v>47</v>
      </c>
      <c r="F72" t="s">
        <v>14</v>
      </c>
      <c r="G72" s="2">
        <v>910000</v>
      </c>
      <c r="H72" s="3">
        <v>0</v>
      </c>
      <c r="I72" s="3">
        <v>30</v>
      </c>
      <c r="J72" t="s">
        <v>15</v>
      </c>
    </row>
    <row r="73" spans="1:10">
      <c r="A73" t="s">
        <v>105</v>
      </c>
      <c r="B73" t="s">
        <v>11</v>
      </c>
      <c r="C73">
        <v>40</v>
      </c>
      <c r="D73" t="s">
        <v>17</v>
      </c>
      <c r="E73" t="s">
        <v>36</v>
      </c>
      <c r="F73" t="s">
        <v>34</v>
      </c>
      <c r="G73" s="2">
        <v>1295000</v>
      </c>
      <c r="H73" s="3">
        <v>0</v>
      </c>
      <c r="I73" s="3">
        <v>51</v>
      </c>
      <c r="J73" t="s">
        <v>29</v>
      </c>
    </row>
    <row r="74" spans="1:10">
      <c r="A74" t="s">
        <v>106</v>
      </c>
      <c r="B74" t="s">
        <v>11</v>
      </c>
      <c r="C74">
        <v>27</v>
      </c>
      <c r="D74" t="s">
        <v>28</v>
      </c>
      <c r="E74" t="s">
        <v>47</v>
      </c>
      <c r="F74" t="s">
        <v>21</v>
      </c>
      <c r="G74" s="2">
        <v>690000</v>
      </c>
      <c r="H74" s="3">
        <v>0</v>
      </c>
      <c r="I74" s="3">
        <v>40</v>
      </c>
      <c r="J74" t="s">
        <v>15</v>
      </c>
    </row>
    <row r="75" spans="1:10">
      <c r="A75" t="s">
        <v>107</v>
      </c>
      <c r="B75" t="s">
        <v>11</v>
      </c>
      <c r="C75">
        <v>41</v>
      </c>
      <c r="D75" t="s">
        <v>12</v>
      </c>
      <c r="E75" t="s">
        <v>36</v>
      </c>
      <c r="F75" t="s">
        <v>34</v>
      </c>
      <c r="G75" s="2">
        <v>1415000</v>
      </c>
      <c r="H75" s="3">
        <v>1</v>
      </c>
      <c r="I75" s="3">
        <v>21</v>
      </c>
      <c r="J75" t="s">
        <v>15</v>
      </c>
    </row>
    <row r="76" spans="1:10">
      <c r="A76" t="s">
        <v>108</v>
      </c>
      <c r="B76" t="s">
        <v>23</v>
      </c>
      <c r="C76">
        <v>36</v>
      </c>
      <c r="D76" t="s">
        <v>28</v>
      </c>
      <c r="E76" t="s">
        <v>51</v>
      </c>
      <c r="F76" t="s">
        <v>34</v>
      </c>
      <c r="G76" s="2">
        <v>1395000</v>
      </c>
      <c r="H76" s="3">
        <v>1</v>
      </c>
      <c r="I76" s="3">
        <v>42</v>
      </c>
      <c r="J76" t="s">
        <v>15</v>
      </c>
    </row>
    <row r="77" spans="1:10">
      <c r="A77" t="s">
        <v>109</v>
      </c>
      <c r="B77" t="s">
        <v>23</v>
      </c>
      <c r="C77">
        <v>27</v>
      </c>
      <c r="D77" t="s">
        <v>58</v>
      </c>
      <c r="E77" t="s">
        <v>31</v>
      </c>
      <c r="F77" t="s">
        <v>21</v>
      </c>
      <c r="G77" s="2">
        <v>520000</v>
      </c>
      <c r="H77" s="3">
        <v>0</v>
      </c>
      <c r="I77" s="3">
        <v>16</v>
      </c>
      <c r="J77" t="s">
        <v>15</v>
      </c>
    </row>
    <row r="78" spans="1:10">
      <c r="A78" t="s">
        <v>110</v>
      </c>
      <c r="B78" t="s">
        <v>11</v>
      </c>
      <c r="C78">
        <v>30</v>
      </c>
      <c r="D78" t="s">
        <v>17</v>
      </c>
      <c r="E78" t="s">
        <v>47</v>
      </c>
      <c r="F78" t="s">
        <v>21</v>
      </c>
      <c r="G78" s="2">
        <v>545000</v>
      </c>
      <c r="H78" s="3">
        <v>1</v>
      </c>
      <c r="I78" s="3">
        <v>34</v>
      </c>
      <c r="J78" t="s">
        <v>15</v>
      </c>
    </row>
    <row r="79" spans="1:10">
      <c r="A79" t="s">
        <v>111</v>
      </c>
      <c r="B79" t="s">
        <v>11</v>
      </c>
      <c r="C79">
        <v>28</v>
      </c>
      <c r="D79" t="s">
        <v>66</v>
      </c>
      <c r="E79" t="s">
        <v>36</v>
      </c>
      <c r="F79" t="s">
        <v>21</v>
      </c>
      <c r="G79" s="2">
        <v>495000</v>
      </c>
      <c r="H79" s="3">
        <v>0</v>
      </c>
      <c r="I79" s="3">
        <v>32</v>
      </c>
      <c r="J79" t="s">
        <v>15</v>
      </c>
    </row>
    <row r="80" spans="1:10">
      <c r="A80" t="s">
        <v>112</v>
      </c>
      <c r="B80" t="s">
        <v>11</v>
      </c>
      <c r="C80">
        <v>33</v>
      </c>
      <c r="D80" t="s">
        <v>28</v>
      </c>
      <c r="E80" t="s">
        <v>31</v>
      </c>
      <c r="F80" t="s">
        <v>34</v>
      </c>
      <c r="G80" s="2">
        <v>1415000</v>
      </c>
      <c r="H80" s="3">
        <v>0</v>
      </c>
      <c r="I80" s="3">
        <v>20</v>
      </c>
      <c r="J80" t="s">
        <v>15</v>
      </c>
    </row>
    <row r="81" spans="1:10">
      <c r="A81" t="s">
        <v>113</v>
      </c>
      <c r="B81" t="s">
        <v>11</v>
      </c>
      <c r="C81">
        <v>48</v>
      </c>
      <c r="D81" t="s">
        <v>17</v>
      </c>
      <c r="E81" t="s">
        <v>42</v>
      </c>
      <c r="F81" t="s">
        <v>26</v>
      </c>
      <c r="G81" s="2">
        <v>2785000</v>
      </c>
      <c r="H81" s="3">
        <v>2</v>
      </c>
      <c r="I81" s="3">
        <v>37</v>
      </c>
      <c r="J81" t="s">
        <v>15</v>
      </c>
    </row>
    <row r="82" spans="1:10">
      <c r="A82" t="s">
        <v>114</v>
      </c>
      <c r="B82" t="s">
        <v>11</v>
      </c>
      <c r="C82">
        <v>27</v>
      </c>
      <c r="D82" t="s">
        <v>12</v>
      </c>
      <c r="E82" t="s">
        <v>47</v>
      </c>
      <c r="F82" t="s">
        <v>24</v>
      </c>
      <c r="G82" s="2">
        <v>450000</v>
      </c>
      <c r="H82" s="3">
        <v>1</v>
      </c>
      <c r="I82" s="3">
        <v>10</v>
      </c>
      <c r="J82" t="s">
        <v>29</v>
      </c>
    </row>
    <row r="83" spans="1:10">
      <c r="A83" t="s">
        <v>115</v>
      </c>
      <c r="B83" t="s">
        <v>66</v>
      </c>
      <c r="C83">
        <v>37</v>
      </c>
      <c r="D83" t="s">
        <v>28</v>
      </c>
      <c r="E83" t="s">
        <v>42</v>
      </c>
      <c r="F83" t="s">
        <v>34</v>
      </c>
      <c r="G83" s="2">
        <v>1370000</v>
      </c>
      <c r="H83" s="3">
        <v>3</v>
      </c>
      <c r="I83" s="3">
        <v>39</v>
      </c>
      <c r="J83" t="s">
        <v>29</v>
      </c>
    </row>
    <row r="84" spans="1:10">
      <c r="A84" t="s">
        <v>116</v>
      </c>
      <c r="B84" t="s">
        <v>11</v>
      </c>
      <c r="C84">
        <v>38</v>
      </c>
      <c r="D84" t="s">
        <v>17</v>
      </c>
      <c r="E84" t="s">
        <v>47</v>
      </c>
      <c r="F84" t="s">
        <v>14</v>
      </c>
      <c r="G84" s="2">
        <v>650000</v>
      </c>
      <c r="H84" s="3">
        <v>2</v>
      </c>
      <c r="I84" s="3">
        <v>28</v>
      </c>
      <c r="J84" t="s">
        <v>15</v>
      </c>
    </row>
    <row r="85" spans="1:10">
      <c r="A85" t="s">
        <v>117</v>
      </c>
      <c r="B85" t="s">
        <v>11</v>
      </c>
      <c r="C85">
        <v>21</v>
      </c>
      <c r="D85" t="s">
        <v>17</v>
      </c>
      <c r="E85" t="s">
        <v>36</v>
      </c>
      <c r="F85" t="s">
        <v>24</v>
      </c>
      <c r="G85" s="2">
        <v>340000</v>
      </c>
      <c r="H85" s="3">
        <v>0</v>
      </c>
      <c r="I85" s="3">
        <v>22</v>
      </c>
      <c r="J85" t="s">
        <v>15</v>
      </c>
    </row>
    <row r="86" spans="1:10">
      <c r="A86" t="s">
        <v>118</v>
      </c>
      <c r="B86" t="s">
        <v>23</v>
      </c>
      <c r="C86">
        <v>42</v>
      </c>
      <c r="D86" t="s">
        <v>12</v>
      </c>
      <c r="E86" t="s">
        <v>47</v>
      </c>
      <c r="F86" t="s">
        <v>34</v>
      </c>
      <c r="G86" s="2">
        <v>1375000</v>
      </c>
      <c r="H86" s="3">
        <v>0</v>
      </c>
      <c r="I86" s="3">
        <v>34</v>
      </c>
      <c r="J86" t="s">
        <v>29</v>
      </c>
    </row>
    <row r="87" spans="1:10">
      <c r="A87" t="s">
        <v>119</v>
      </c>
      <c r="B87" t="s">
        <v>11</v>
      </c>
      <c r="C87">
        <v>35</v>
      </c>
      <c r="D87" t="s">
        <v>17</v>
      </c>
      <c r="E87" t="s">
        <v>36</v>
      </c>
      <c r="F87" t="s">
        <v>14</v>
      </c>
      <c r="G87" s="2">
        <v>720000</v>
      </c>
      <c r="H87" s="3">
        <v>1</v>
      </c>
      <c r="I87" s="3">
        <v>32</v>
      </c>
      <c r="J87" t="s">
        <v>15</v>
      </c>
    </row>
    <row r="88" spans="1:10">
      <c r="A88" t="s">
        <v>120</v>
      </c>
      <c r="B88" t="s">
        <v>23</v>
      </c>
      <c r="C88">
        <v>36</v>
      </c>
      <c r="D88" t="s">
        <v>58</v>
      </c>
      <c r="E88" t="s">
        <v>51</v>
      </c>
      <c r="F88" t="s">
        <v>14</v>
      </c>
      <c r="G88" s="2">
        <v>750000</v>
      </c>
      <c r="H88" s="3">
        <v>0</v>
      </c>
      <c r="I88" s="3">
        <v>44</v>
      </c>
      <c r="J88" t="s">
        <v>15</v>
      </c>
    </row>
    <row r="89" spans="1:10">
      <c r="A89" t="s">
        <v>121</v>
      </c>
      <c r="B89" t="s">
        <v>11</v>
      </c>
      <c r="C89">
        <v>36</v>
      </c>
      <c r="D89" t="s">
        <v>17</v>
      </c>
      <c r="E89" t="s">
        <v>42</v>
      </c>
      <c r="F89" t="s">
        <v>14</v>
      </c>
      <c r="G89" s="2">
        <v>620000</v>
      </c>
      <c r="H89" s="3">
        <v>2</v>
      </c>
      <c r="I89" s="3">
        <v>35</v>
      </c>
      <c r="J89" t="s">
        <v>15</v>
      </c>
    </row>
    <row r="90" spans="1:10">
      <c r="A90" t="s">
        <v>122</v>
      </c>
      <c r="B90" t="s">
        <v>23</v>
      </c>
      <c r="C90">
        <v>48</v>
      </c>
      <c r="D90" t="s">
        <v>28</v>
      </c>
      <c r="E90" t="s">
        <v>36</v>
      </c>
      <c r="F90" t="s">
        <v>26</v>
      </c>
      <c r="G90" s="2">
        <v>2405000</v>
      </c>
      <c r="H90" s="3">
        <v>0</v>
      </c>
      <c r="I90" s="3">
        <v>78</v>
      </c>
      <c r="J90" t="s">
        <v>15</v>
      </c>
    </row>
    <row r="91" spans="1:10">
      <c r="A91" t="s">
        <v>123</v>
      </c>
      <c r="B91" t="s">
        <v>11</v>
      </c>
      <c r="C91">
        <v>29</v>
      </c>
      <c r="D91" t="s">
        <v>12</v>
      </c>
      <c r="E91" t="s">
        <v>31</v>
      </c>
      <c r="F91" t="s">
        <v>21</v>
      </c>
      <c r="G91" s="2">
        <v>660000</v>
      </c>
      <c r="H91" s="3">
        <v>1</v>
      </c>
      <c r="I91" s="3">
        <v>25</v>
      </c>
      <c r="J91" t="s">
        <v>15</v>
      </c>
    </row>
    <row r="92" spans="1:10">
      <c r="A92" t="s">
        <v>124</v>
      </c>
      <c r="B92" t="s">
        <v>23</v>
      </c>
      <c r="C92">
        <v>30</v>
      </c>
      <c r="D92" t="s">
        <v>28</v>
      </c>
      <c r="E92" t="s">
        <v>20</v>
      </c>
      <c r="F92" t="s">
        <v>21</v>
      </c>
      <c r="G92" s="2">
        <v>550000</v>
      </c>
      <c r="H92" s="3">
        <v>0</v>
      </c>
      <c r="I92" s="3">
        <v>22</v>
      </c>
      <c r="J92" t="s">
        <v>15</v>
      </c>
    </row>
    <row r="93" spans="1:10">
      <c r="A93" t="s">
        <v>125</v>
      </c>
      <c r="B93" t="s">
        <v>23</v>
      </c>
      <c r="C93">
        <v>24</v>
      </c>
      <c r="D93" t="s">
        <v>28</v>
      </c>
      <c r="E93" t="s">
        <v>18</v>
      </c>
      <c r="F93" t="s">
        <v>21</v>
      </c>
      <c r="G93" s="2">
        <v>610000</v>
      </c>
      <c r="H93" s="3">
        <v>1</v>
      </c>
      <c r="I93" s="3">
        <v>36</v>
      </c>
      <c r="J93" t="s">
        <v>29</v>
      </c>
    </row>
    <row r="94" spans="1:10">
      <c r="A94" t="s">
        <v>126</v>
      </c>
      <c r="B94" t="s">
        <v>23</v>
      </c>
      <c r="C94">
        <v>25</v>
      </c>
      <c r="D94" t="s">
        <v>17</v>
      </c>
      <c r="E94" t="s">
        <v>31</v>
      </c>
      <c r="F94" t="s">
        <v>24</v>
      </c>
      <c r="G94" s="2">
        <v>395000</v>
      </c>
      <c r="H94" s="3">
        <v>0</v>
      </c>
      <c r="I94" s="3">
        <v>23</v>
      </c>
      <c r="J94" t="s">
        <v>15</v>
      </c>
    </row>
    <row r="95" spans="1:10">
      <c r="A95" t="s">
        <v>127</v>
      </c>
      <c r="B95" t="s">
        <v>11</v>
      </c>
      <c r="C95">
        <v>49</v>
      </c>
      <c r="D95" t="s">
        <v>17</v>
      </c>
      <c r="E95" t="s">
        <v>42</v>
      </c>
      <c r="F95" t="s">
        <v>43</v>
      </c>
      <c r="G95" s="2">
        <v>1810000</v>
      </c>
      <c r="H95" s="3">
        <v>0</v>
      </c>
      <c r="I95" s="3">
        <v>65</v>
      </c>
      <c r="J95" t="s">
        <v>15</v>
      </c>
    </row>
    <row r="96" spans="1:10">
      <c r="A96" t="s">
        <v>128</v>
      </c>
      <c r="B96" t="s">
        <v>11</v>
      </c>
      <c r="C96">
        <v>28</v>
      </c>
      <c r="D96" t="s">
        <v>58</v>
      </c>
      <c r="E96" t="s">
        <v>51</v>
      </c>
      <c r="F96" t="s">
        <v>14</v>
      </c>
      <c r="G96" s="2">
        <v>720000</v>
      </c>
      <c r="H96" s="3">
        <v>2</v>
      </c>
      <c r="I96" s="3">
        <v>22</v>
      </c>
      <c r="J96" t="s">
        <v>15</v>
      </c>
    </row>
    <row r="97" spans="1:10">
      <c r="A97" t="s">
        <v>129</v>
      </c>
      <c r="B97" t="s">
        <v>66</v>
      </c>
      <c r="C97">
        <v>44</v>
      </c>
      <c r="D97" t="s">
        <v>17</v>
      </c>
      <c r="E97" t="s">
        <v>31</v>
      </c>
      <c r="F97" t="s">
        <v>43</v>
      </c>
      <c r="G97" s="2">
        <v>1835000</v>
      </c>
      <c r="H97" s="3">
        <v>2</v>
      </c>
      <c r="I97" s="3">
        <v>51</v>
      </c>
      <c r="J97" t="s">
        <v>15</v>
      </c>
    </row>
    <row r="98" spans="1:10">
      <c r="A98" t="s">
        <v>130</v>
      </c>
      <c r="B98" t="s">
        <v>23</v>
      </c>
      <c r="C98">
        <v>31</v>
      </c>
      <c r="D98" t="s">
        <v>28</v>
      </c>
      <c r="E98" t="s">
        <v>36</v>
      </c>
      <c r="F98" t="s">
        <v>21</v>
      </c>
      <c r="G98" s="2">
        <v>470000</v>
      </c>
      <c r="H98" s="3">
        <v>1</v>
      </c>
      <c r="I98" s="3">
        <v>18</v>
      </c>
      <c r="J98" t="s">
        <v>15</v>
      </c>
    </row>
    <row r="99" spans="1:10">
      <c r="A99" t="s">
        <v>131</v>
      </c>
      <c r="B99" t="s">
        <v>23</v>
      </c>
      <c r="C99">
        <v>35</v>
      </c>
      <c r="D99" t="s">
        <v>17</v>
      </c>
      <c r="E99" t="s">
        <v>51</v>
      </c>
      <c r="F99" t="s">
        <v>34</v>
      </c>
      <c r="G99" s="2">
        <v>1215000</v>
      </c>
      <c r="H99" s="3">
        <v>2</v>
      </c>
      <c r="I99" s="3">
        <v>57</v>
      </c>
      <c r="J99" t="s">
        <v>29</v>
      </c>
    </row>
    <row r="100" spans="1:10">
      <c r="A100" t="s">
        <v>132</v>
      </c>
      <c r="B100" t="s">
        <v>11</v>
      </c>
      <c r="C100">
        <v>31</v>
      </c>
      <c r="D100" t="s">
        <v>12</v>
      </c>
      <c r="E100" t="s">
        <v>18</v>
      </c>
      <c r="F100" t="s">
        <v>21</v>
      </c>
      <c r="G100" s="2">
        <v>685000</v>
      </c>
      <c r="H100" s="3">
        <v>0</v>
      </c>
      <c r="I100" s="3">
        <v>39</v>
      </c>
      <c r="J100" t="s">
        <v>15</v>
      </c>
    </row>
    <row r="101" spans="1:10">
      <c r="A101" t="s">
        <v>133</v>
      </c>
      <c r="B101" t="s">
        <v>23</v>
      </c>
      <c r="C101">
        <v>29</v>
      </c>
      <c r="D101" t="s">
        <v>28</v>
      </c>
      <c r="E101" t="s">
        <v>31</v>
      </c>
      <c r="F101" t="s">
        <v>21</v>
      </c>
      <c r="G101" s="2">
        <v>425000</v>
      </c>
      <c r="H101" s="3">
        <v>0</v>
      </c>
      <c r="I101" s="3">
        <v>25</v>
      </c>
      <c r="J101" t="s">
        <v>15</v>
      </c>
    </row>
    <row r="102" spans="1:10">
      <c r="A102" t="s">
        <v>134</v>
      </c>
      <c r="B102" t="s">
        <v>23</v>
      </c>
      <c r="C102">
        <v>27</v>
      </c>
      <c r="D102" t="s">
        <v>28</v>
      </c>
      <c r="E102" t="s">
        <v>51</v>
      </c>
      <c r="F102" t="s">
        <v>14</v>
      </c>
      <c r="G102" s="2">
        <v>665000</v>
      </c>
      <c r="H102" s="3">
        <v>1</v>
      </c>
      <c r="I102" s="3">
        <v>36</v>
      </c>
      <c r="J102" t="s">
        <v>29</v>
      </c>
    </row>
    <row r="103" spans="1:10">
      <c r="A103" t="s">
        <v>135</v>
      </c>
      <c r="B103" t="s">
        <v>23</v>
      </c>
      <c r="C103">
        <v>22</v>
      </c>
      <c r="D103" t="s">
        <v>17</v>
      </c>
      <c r="E103" t="s">
        <v>18</v>
      </c>
      <c r="F103" t="s">
        <v>24</v>
      </c>
      <c r="G103" s="2">
        <v>405000</v>
      </c>
      <c r="H103" s="3">
        <v>1</v>
      </c>
      <c r="I103" s="3">
        <v>12</v>
      </c>
      <c r="J103" t="s">
        <v>15</v>
      </c>
    </row>
    <row r="104" spans="1:10">
      <c r="A104" t="s">
        <v>136</v>
      </c>
      <c r="B104" t="s">
        <v>23</v>
      </c>
      <c r="C104">
        <v>32</v>
      </c>
      <c r="D104" t="s">
        <v>58</v>
      </c>
      <c r="E104" t="s">
        <v>51</v>
      </c>
      <c r="F104" t="s">
        <v>14</v>
      </c>
      <c r="G104" s="2">
        <v>955000</v>
      </c>
      <c r="H104" s="3">
        <v>2</v>
      </c>
      <c r="I104" s="3">
        <v>39</v>
      </c>
      <c r="J104" t="s">
        <v>29</v>
      </c>
    </row>
    <row r="105" spans="1:10">
      <c r="A105" t="s">
        <v>137</v>
      </c>
      <c r="B105" t="s">
        <v>11</v>
      </c>
      <c r="C105">
        <v>36</v>
      </c>
      <c r="D105" t="s">
        <v>17</v>
      </c>
      <c r="E105" t="s">
        <v>13</v>
      </c>
      <c r="F105" t="s">
        <v>43</v>
      </c>
      <c r="G105" s="2">
        <v>1945000</v>
      </c>
      <c r="H105" s="3">
        <v>0</v>
      </c>
      <c r="I105" s="3">
        <v>65</v>
      </c>
      <c r="J105" t="s">
        <v>15</v>
      </c>
    </row>
    <row r="106" spans="1:10">
      <c r="A106" t="s">
        <v>138</v>
      </c>
      <c r="B106" t="s">
        <v>23</v>
      </c>
      <c r="C106">
        <v>28</v>
      </c>
      <c r="D106" t="s">
        <v>58</v>
      </c>
      <c r="E106" t="s">
        <v>42</v>
      </c>
      <c r="F106" t="s">
        <v>14</v>
      </c>
      <c r="G106" s="2">
        <v>1000000</v>
      </c>
      <c r="H106" s="3">
        <v>1</v>
      </c>
      <c r="I106" s="3">
        <v>21</v>
      </c>
      <c r="J106" t="s">
        <v>15</v>
      </c>
    </row>
    <row r="107" spans="1:10">
      <c r="A107" t="s">
        <v>139</v>
      </c>
      <c r="B107" t="s">
        <v>23</v>
      </c>
      <c r="C107">
        <v>23</v>
      </c>
      <c r="D107" t="s">
        <v>12</v>
      </c>
      <c r="E107" t="s">
        <v>31</v>
      </c>
      <c r="F107" t="s">
        <v>21</v>
      </c>
      <c r="G107" s="2">
        <v>555000</v>
      </c>
      <c r="H107" s="3">
        <v>0</v>
      </c>
      <c r="I107" s="3">
        <v>23</v>
      </c>
      <c r="J107" t="s">
        <v>15</v>
      </c>
    </row>
    <row r="108" spans="1:10">
      <c r="A108" t="s">
        <v>140</v>
      </c>
      <c r="B108" t="s">
        <v>23</v>
      </c>
      <c r="C108">
        <v>21</v>
      </c>
      <c r="D108" t="s">
        <v>12</v>
      </c>
      <c r="E108" t="s">
        <v>47</v>
      </c>
      <c r="F108" t="s">
        <v>24</v>
      </c>
      <c r="G108" s="2">
        <v>460000</v>
      </c>
      <c r="H108" s="3">
        <v>1</v>
      </c>
      <c r="I108" s="3">
        <v>27</v>
      </c>
      <c r="J108" t="s">
        <v>15</v>
      </c>
    </row>
    <row r="109" spans="1:10">
      <c r="A109" t="s">
        <v>141</v>
      </c>
      <c r="B109" t="s">
        <v>11</v>
      </c>
      <c r="C109">
        <v>31</v>
      </c>
      <c r="D109" t="s">
        <v>28</v>
      </c>
      <c r="E109" t="s">
        <v>31</v>
      </c>
      <c r="F109" t="s">
        <v>14</v>
      </c>
      <c r="G109" s="2">
        <v>840000</v>
      </c>
      <c r="H109" s="3">
        <v>0</v>
      </c>
      <c r="I109" s="3">
        <v>15</v>
      </c>
      <c r="J109" t="s">
        <v>29</v>
      </c>
    </row>
    <row r="110" spans="1:10">
      <c r="A110" t="s">
        <v>142</v>
      </c>
      <c r="B110" t="s">
        <v>11</v>
      </c>
      <c r="C110">
        <v>23</v>
      </c>
      <c r="D110" t="s">
        <v>28</v>
      </c>
      <c r="E110" t="s">
        <v>18</v>
      </c>
      <c r="F110" t="s">
        <v>24</v>
      </c>
      <c r="G110" s="2">
        <v>455000</v>
      </c>
      <c r="H110" s="3">
        <v>0</v>
      </c>
      <c r="I110" s="3">
        <v>21</v>
      </c>
      <c r="J110" t="s">
        <v>15</v>
      </c>
    </row>
    <row r="111" spans="1:10">
      <c r="A111" t="s">
        <v>143</v>
      </c>
      <c r="B111" t="s">
        <v>66</v>
      </c>
      <c r="C111">
        <v>38</v>
      </c>
      <c r="D111" t="s">
        <v>28</v>
      </c>
      <c r="E111" t="s">
        <v>18</v>
      </c>
      <c r="F111" t="s">
        <v>43</v>
      </c>
      <c r="G111" s="2">
        <v>1550000</v>
      </c>
      <c r="H111" s="3">
        <v>0</v>
      </c>
      <c r="I111" s="3">
        <v>47</v>
      </c>
      <c r="J111" t="s">
        <v>15</v>
      </c>
    </row>
    <row r="112" spans="1:10">
      <c r="A112" t="s">
        <v>144</v>
      </c>
      <c r="B112" t="s">
        <v>23</v>
      </c>
      <c r="C112">
        <v>23</v>
      </c>
      <c r="D112" t="s">
        <v>12</v>
      </c>
      <c r="E112" t="s">
        <v>20</v>
      </c>
      <c r="F112" t="s">
        <v>21</v>
      </c>
      <c r="G112" s="2">
        <v>660000</v>
      </c>
      <c r="H112" s="3">
        <v>1</v>
      </c>
      <c r="I112" s="3">
        <v>38</v>
      </c>
      <c r="J112" t="s">
        <v>15</v>
      </c>
    </row>
    <row r="113" spans="1:10">
      <c r="A113" t="s">
        <v>145</v>
      </c>
      <c r="B113" t="s">
        <v>23</v>
      </c>
      <c r="C113">
        <v>26</v>
      </c>
      <c r="D113" t="s">
        <v>17</v>
      </c>
      <c r="E113" t="s">
        <v>13</v>
      </c>
      <c r="F113" t="s">
        <v>21</v>
      </c>
      <c r="G113" s="2">
        <v>530000</v>
      </c>
      <c r="H113" s="3">
        <v>1</v>
      </c>
      <c r="I113" s="3">
        <v>33</v>
      </c>
      <c r="J113" t="s">
        <v>15</v>
      </c>
    </row>
    <row r="114" spans="1:10">
      <c r="A114" t="s">
        <v>146</v>
      </c>
      <c r="B114" t="s">
        <v>23</v>
      </c>
      <c r="C114">
        <v>36</v>
      </c>
      <c r="D114" t="s">
        <v>17</v>
      </c>
      <c r="E114" t="s">
        <v>36</v>
      </c>
      <c r="F114" t="s">
        <v>43</v>
      </c>
      <c r="G114" s="2">
        <v>1625000</v>
      </c>
      <c r="H114" s="3">
        <v>2</v>
      </c>
      <c r="I114" s="3">
        <v>27</v>
      </c>
      <c r="J114" t="s">
        <v>15</v>
      </c>
    </row>
    <row r="115" spans="1:10">
      <c r="A115" t="s">
        <v>147</v>
      </c>
      <c r="B115" t="s">
        <v>66</v>
      </c>
      <c r="C115">
        <v>29</v>
      </c>
      <c r="D115" t="s">
        <v>28</v>
      </c>
      <c r="E115" t="s">
        <v>36</v>
      </c>
      <c r="F115" t="s">
        <v>21</v>
      </c>
      <c r="G115" s="2">
        <v>490000</v>
      </c>
      <c r="H115" s="3">
        <v>0</v>
      </c>
      <c r="I115" s="3">
        <v>35</v>
      </c>
      <c r="J115" t="s">
        <v>15</v>
      </c>
    </row>
    <row r="116" spans="1:10">
      <c r="A116" t="s">
        <v>148</v>
      </c>
      <c r="B116" t="s">
        <v>11</v>
      </c>
      <c r="C116">
        <v>35</v>
      </c>
      <c r="D116" t="s">
        <v>17</v>
      </c>
      <c r="E116" t="s">
        <v>13</v>
      </c>
      <c r="F116" t="s">
        <v>34</v>
      </c>
      <c r="G116" s="2">
        <v>1405000</v>
      </c>
      <c r="H116" s="3">
        <v>3</v>
      </c>
      <c r="I116" s="3">
        <v>38</v>
      </c>
      <c r="J116" t="s">
        <v>15</v>
      </c>
    </row>
    <row r="117" spans="1:10">
      <c r="A117" t="s">
        <v>149</v>
      </c>
      <c r="B117" t="s">
        <v>23</v>
      </c>
      <c r="C117">
        <v>22</v>
      </c>
      <c r="D117" t="s">
        <v>28</v>
      </c>
      <c r="E117" t="s">
        <v>18</v>
      </c>
      <c r="F117" t="s">
        <v>24</v>
      </c>
      <c r="G117" s="2">
        <v>475000</v>
      </c>
      <c r="H117" s="3">
        <v>1</v>
      </c>
      <c r="I117" s="3">
        <v>20</v>
      </c>
      <c r="J117" t="s">
        <v>29</v>
      </c>
    </row>
    <row r="118" spans="1:10">
      <c r="A118" t="s">
        <v>150</v>
      </c>
      <c r="B118" t="s">
        <v>11</v>
      </c>
      <c r="C118">
        <v>25</v>
      </c>
      <c r="D118" t="s">
        <v>28</v>
      </c>
      <c r="E118" t="s">
        <v>20</v>
      </c>
      <c r="F118" t="s">
        <v>24</v>
      </c>
      <c r="G118" s="2">
        <v>330000</v>
      </c>
      <c r="H118" s="3">
        <v>0</v>
      </c>
      <c r="I118" s="3">
        <v>29</v>
      </c>
      <c r="J118" t="s">
        <v>15</v>
      </c>
    </row>
    <row r="119" spans="1:10">
      <c r="A119" t="s">
        <v>151</v>
      </c>
      <c r="B119" t="s">
        <v>23</v>
      </c>
      <c r="C119">
        <v>22</v>
      </c>
      <c r="D119" t="s">
        <v>12</v>
      </c>
      <c r="E119" t="s">
        <v>51</v>
      </c>
      <c r="F119" t="s">
        <v>24</v>
      </c>
      <c r="G119" s="2">
        <v>425000</v>
      </c>
      <c r="H119" s="3">
        <v>0</v>
      </c>
      <c r="I119" s="3">
        <v>25</v>
      </c>
      <c r="J119" t="s">
        <v>15</v>
      </c>
    </row>
    <row r="120" spans="1:10">
      <c r="A120" t="s">
        <v>152</v>
      </c>
      <c r="B120" t="s">
        <v>11</v>
      </c>
      <c r="C120">
        <v>44</v>
      </c>
      <c r="D120" t="s">
        <v>66</v>
      </c>
      <c r="E120" t="s">
        <v>13</v>
      </c>
      <c r="F120" t="s">
        <v>43</v>
      </c>
      <c r="G120" s="2">
        <v>1980000</v>
      </c>
      <c r="H120" s="3">
        <v>1</v>
      </c>
      <c r="I120" s="3">
        <v>33</v>
      </c>
      <c r="J120" t="s">
        <v>15</v>
      </c>
    </row>
    <row r="121" spans="1:10">
      <c r="A121" t="s">
        <v>153</v>
      </c>
      <c r="B121" t="s">
        <v>23</v>
      </c>
      <c r="C121">
        <v>25</v>
      </c>
      <c r="D121" t="s">
        <v>58</v>
      </c>
      <c r="E121" t="s">
        <v>18</v>
      </c>
      <c r="F121" t="s">
        <v>24</v>
      </c>
      <c r="G121" s="2">
        <v>335000</v>
      </c>
      <c r="H121" s="3">
        <v>0</v>
      </c>
      <c r="I121" s="3">
        <v>19</v>
      </c>
      <c r="J121" t="s">
        <v>15</v>
      </c>
    </row>
    <row r="122" spans="1:10">
      <c r="A122" t="s">
        <v>154</v>
      </c>
      <c r="B122" t="s">
        <v>23</v>
      </c>
      <c r="C122">
        <v>38</v>
      </c>
      <c r="D122" t="s">
        <v>58</v>
      </c>
      <c r="E122" t="s">
        <v>36</v>
      </c>
      <c r="F122" t="s">
        <v>14</v>
      </c>
      <c r="G122" s="2">
        <v>680000</v>
      </c>
      <c r="H122" s="3">
        <v>2</v>
      </c>
      <c r="I122" s="3">
        <v>21</v>
      </c>
      <c r="J122" t="s">
        <v>15</v>
      </c>
    </row>
    <row r="123" spans="1:10">
      <c r="A123" t="s">
        <v>155</v>
      </c>
      <c r="B123" t="s">
        <v>11</v>
      </c>
      <c r="C123">
        <v>23</v>
      </c>
      <c r="D123" t="s">
        <v>12</v>
      </c>
      <c r="E123" t="s">
        <v>20</v>
      </c>
      <c r="F123" t="s">
        <v>24</v>
      </c>
      <c r="G123" s="2">
        <v>355000</v>
      </c>
      <c r="H123" s="3">
        <v>0</v>
      </c>
      <c r="I123" s="3">
        <v>15</v>
      </c>
      <c r="J123" t="s">
        <v>29</v>
      </c>
    </row>
    <row r="124" spans="1:10">
      <c r="A124" t="s">
        <v>156</v>
      </c>
      <c r="B124" t="s">
        <v>11</v>
      </c>
      <c r="C124">
        <v>23</v>
      </c>
      <c r="D124" t="s">
        <v>12</v>
      </c>
      <c r="E124" t="s">
        <v>42</v>
      </c>
      <c r="F124" t="s">
        <v>24</v>
      </c>
      <c r="G124" s="2">
        <v>350000</v>
      </c>
      <c r="H124" s="3">
        <v>1</v>
      </c>
      <c r="I124" s="3">
        <v>22</v>
      </c>
      <c r="J124" t="s">
        <v>15</v>
      </c>
    </row>
    <row r="125" spans="1:10">
      <c r="A125" t="s">
        <v>157</v>
      </c>
      <c r="B125" t="s">
        <v>23</v>
      </c>
      <c r="C125">
        <v>23</v>
      </c>
      <c r="D125" t="s">
        <v>12</v>
      </c>
      <c r="E125" t="s">
        <v>47</v>
      </c>
      <c r="F125" t="s">
        <v>24</v>
      </c>
      <c r="G125" s="2">
        <v>365000</v>
      </c>
      <c r="H125" s="3">
        <v>1</v>
      </c>
      <c r="I125" s="3">
        <v>26</v>
      </c>
      <c r="J125" t="s">
        <v>15</v>
      </c>
    </row>
    <row r="126" spans="1:10">
      <c r="A126" t="s">
        <v>158</v>
      </c>
      <c r="B126" t="s">
        <v>23</v>
      </c>
      <c r="C126">
        <v>34</v>
      </c>
      <c r="D126" t="s">
        <v>17</v>
      </c>
      <c r="E126" t="s">
        <v>31</v>
      </c>
      <c r="F126" t="s">
        <v>34</v>
      </c>
      <c r="G126" s="2">
        <v>1245000</v>
      </c>
      <c r="H126" s="3">
        <v>2</v>
      </c>
      <c r="I126" s="3">
        <v>58</v>
      </c>
      <c r="J126" t="s">
        <v>15</v>
      </c>
    </row>
    <row r="127" spans="1:10">
      <c r="A127" t="s">
        <v>159</v>
      </c>
      <c r="B127" t="s">
        <v>11</v>
      </c>
      <c r="C127">
        <v>29</v>
      </c>
      <c r="D127" t="s">
        <v>58</v>
      </c>
      <c r="E127" t="s">
        <v>20</v>
      </c>
      <c r="F127" t="s">
        <v>14</v>
      </c>
      <c r="G127" s="2">
        <v>660000</v>
      </c>
      <c r="H127" s="3">
        <v>1</v>
      </c>
      <c r="I127" s="3">
        <v>16</v>
      </c>
      <c r="J127" t="s">
        <v>15</v>
      </c>
    </row>
    <row r="128" spans="1:10">
      <c r="A128" t="s">
        <v>160</v>
      </c>
      <c r="B128" t="s">
        <v>23</v>
      </c>
      <c r="C128">
        <v>23</v>
      </c>
      <c r="D128" t="s">
        <v>28</v>
      </c>
      <c r="E128" t="s">
        <v>20</v>
      </c>
      <c r="F128" t="s">
        <v>24</v>
      </c>
      <c r="G128" s="2">
        <v>315000</v>
      </c>
      <c r="H128" s="3">
        <v>0</v>
      </c>
      <c r="I128" s="3">
        <v>21</v>
      </c>
      <c r="J128" t="s">
        <v>15</v>
      </c>
    </row>
    <row r="129" spans="1:10">
      <c r="A129" t="s">
        <v>161</v>
      </c>
      <c r="B129" t="s">
        <v>23</v>
      </c>
      <c r="C129">
        <v>28</v>
      </c>
      <c r="D129" t="s">
        <v>12</v>
      </c>
      <c r="E129" t="s">
        <v>36</v>
      </c>
      <c r="F129" t="s">
        <v>14</v>
      </c>
      <c r="G129" s="2">
        <v>835000</v>
      </c>
      <c r="H129" s="3">
        <v>1</v>
      </c>
      <c r="I129" s="3">
        <v>17</v>
      </c>
      <c r="J129" t="s">
        <v>15</v>
      </c>
    </row>
    <row r="130" spans="1:10">
      <c r="A130" t="s">
        <v>162</v>
      </c>
      <c r="B130" t="s">
        <v>11</v>
      </c>
      <c r="C130">
        <v>27</v>
      </c>
      <c r="D130" t="s">
        <v>12</v>
      </c>
      <c r="E130" t="s">
        <v>51</v>
      </c>
      <c r="F130" t="s">
        <v>14</v>
      </c>
      <c r="G130" s="2">
        <v>630000</v>
      </c>
      <c r="H130" s="3">
        <v>2</v>
      </c>
      <c r="I130" s="3">
        <v>40</v>
      </c>
      <c r="J130" t="s">
        <v>15</v>
      </c>
    </row>
    <row r="131" spans="1:10">
      <c r="A131" t="s">
        <v>163</v>
      </c>
      <c r="B131" t="s">
        <v>23</v>
      </c>
      <c r="C131">
        <v>21</v>
      </c>
      <c r="D131" t="s">
        <v>12</v>
      </c>
      <c r="E131" t="s">
        <v>20</v>
      </c>
      <c r="F131" t="s">
        <v>24</v>
      </c>
      <c r="G131" s="2">
        <v>385000</v>
      </c>
      <c r="H131" s="3">
        <v>0</v>
      </c>
      <c r="I131" s="3">
        <v>10</v>
      </c>
      <c r="J131" t="s">
        <v>15</v>
      </c>
    </row>
    <row r="132" spans="1:10">
      <c r="A132" t="s">
        <v>164</v>
      </c>
      <c r="B132" t="s">
        <v>23</v>
      </c>
      <c r="C132">
        <v>31</v>
      </c>
      <c r="D132" t="s">
        <v>17</v>
      </c>
      <c r="E132" t="s">
        <v>47</v>
      </c>
      <c r="F132" t="s">
        <v>21</v>
      </c>
      <c r="G132" s="2">
        <v>555000</v>
      </c>
      <c r="H132" s="3">
        <v>0</v>
      </c>
      <c r="I132" s="3">
        <v>29</v>
      </c>
      <c r="J132" t="s">
        <v>15</v>
      </c>
    </row>
    <row r="133" spans="1:10">
      <c r="A133" t="s">
        <v>165</v>
      </c>
      <c r="B133" t="s">
        <v>23</v>
      </c>
      <c r="C133">
        <v>30</v>
      </c>
      <c r="D133" t="s">
        <v>28</v>
      </c>
      <c r="E133" t="s">
        <v>20</v>
      </c>
      <c r="F133" t="s">
        <v>14</v>
      </c>
      <c r="G133" s="2">
        <v>815000</v>
      </c>
      <c r="H133" s="3">
        <v>0</v>
      </c>
      <c r="I133" s="3">
        <v>44</v>
      </c>
      <c r="J133" t="s">
        <v>15</v>
      </c>
    </row>
    <row r="134" spans="1:10">
      <c r="A134" t="s">
        <v>166</v>
      </c>
      <c r="B134" t="s">
        <v>23</v>
      </c>
      <c r="C134">
        <v>36</v>
      </c>
      <c r="D134" t="s">
        <v>17</v>
      </c>
      <c r="E134" t="s">
        <v>13</v>
      </c>
      <c r="F134" t="s">
        <v>34</v>
      </c>
      <c r="G134" s="2">
        <v>1060000</v>
      </c>
      <c r="H134" s="3">
        <v>1</v>
      </c>
      <c r="I134" s="3">
        <v>50</v>
      </c>
      <c r="J134" t="s">
        <v>15</v>
      </c>
    </row>
    <row r="135" spans="1:10">
      <c r="A135" t="s">
        <v>167</v>
      </c>
      <c r="B135" t="s">
        <v>23</v>
      </c>
      <c r="C135">
        <v>36</v>
      </c>
      <c r="D135" t="s">
        <v>12</v>
      </c>
      <c r="E135" t="s">
        <v>18</v>
      </c>
      <c r="F135" t="s">
        <v>34</v>
      </c>
      <c r="G135" s="2">
        <v>1035000</v>
      </c>
      <c r="H135" s="3">
        <v>1</v>
      </c>
      <c r="I135" s="3">
        <v>57</v>
      </c>
      <c r="J135" t="s">
        <v>29</v>
      </c>
    </row>
    <row r="136" spans="1:10">
      <c r="A136" t="s">
        <v>168</v>
      </c>
      <c r="B136" t="s">
        <v>11</v>
      </c>
      <c r="C136">
        <v>29</v>
      </c>
      <c r="D136" t="s">
        <v>28</v>
      </c>
      <c r="E136" t="s">
        <v>31</v>
      </c>
      <c r="F136" t="s">
        <v>21</v>
      </c>
      <c r="G136" s="2">
        <v>425000</v>
      </c>
      <c r="H136" s="3">
        <v>1</v>
      </c>
      <c r="I136" s="3">
        <v>29</v>
      </c>
      <c r="J136" t="s">
        <v>15</v>
      </c>
    </row>
    <row r="137" spans="1:10">
      <c r="A137" t="s">
        <v>169</v>
      </c>
      <c r="B137" t="s">
        <v>23</v>
      </c>
      <c r="C137">
        <v>34</v>
      </c>
      <c r="D137" t="s">
        <v>12</v>
      </c>
      <c r="E137" t="s">
        <v>18</v>
      </c>
      <c r="F137" t="s">
        <v>34</v>
      </c>
      <c r="G137" s="2">
        <v>1015000</v>
      </c>
      <c r="H137" s="3">
        <v>0</v>
      </c>
      <c r="I137" s="3">
        <v>55</v>
      </c>
      <c r="J137" t="s">
        <v>15</v>
      </c>
    </row>
    <row r="138" spans="1:10">
      <c r="A138" t="s">
        <v>170</v>
      </c>
      <c r="B138" t="s">
        <v>11</v>
      </c>
      <c r="C138">
        <v>43</v>
      </c>
      <c r="D138" t="s">
        <v>12</v>
      </c>
      <c r="E138" t="s">
        <v>20</v>
      </c>
      <c r="F138" t="s">
        <v>34</v>
      </c>
      <c r="G138" s="2">
        <v>1485000</v>
      </c>
      <c r="H138" s="3">
        <v>0</v>
      </c>
      <c r="I138" s="3">
        <v>37</v>
      </c>
      <c r="J138" t="s">
        <v>15</v>
      </c>
    </row>
    <row r="139" spans="1:10">
      <c r="A139" t="s">
        <v>171</v>
      </c>
      <c r="B139" t="s">
        <v>23</v>
      </c>
      <c r="C139">
        <v>25</v>
      </c>
      <c r="D139" t="s">
        <v>66</v>
      </c>
      <c r="E139" t="s">
        <v>13</v>
      </c>
      <c r="F139" t="s">
        <v>21</v>
      </c>
      <c r="G139" s="2">
        <v>475000</v>
      </c>
      <c r="H139" s="3">
        <v>0</v>
      </c>
      <c r="I139" s="3">
        <v>22</v>
      </c>
      <c r="J139" t="s">
        <v>15</v>
      </c>
    </row>
    <row r="140" spans="1:10">
      <c r="A140" t="s">
        <v>172</v>
      </c>
      <c r="B140" t="s">
        <v>11</v>
      </c>
      <c r="C140">
        <v>34</v>
      </c>
      <c r="D140" t="s">
        <v>28</v>
      </c>
      <c r="E140" t="s">
        <v>13</v>
      </c>
      <c r="F140" t="s">
        <v>34</v>
      </c>
      <c r="G140" s="2">
        <v>1295000</v>
      </c>
      <c r="H140" s="3">
        <v>1</v>
      </c>
      <c r="I140" s="3">
        <v>41</v>
      </c>
      <c r="J140" t="s">
        <v>15</v>
      </c>
    </row>
    <row r="141" spans="1:10">
      <c r="A141" t="s">
        <v>173</v>
      </c>
      <c r="B141" t="s">
        <v>11</v>
      </c>
      <c r="C141">
        <v>39</v>
      </c>
      <c r="D141" t="s">
        <v>12</v>
      </c>
      <c r="E141" t="s">
        <v>51</v>
      </c>
      <c r="F141" t="s">
        <v>43</v>
      </c>
      <c r="G141" s="2">
        <v>1465000</v>
      </c>
      <c r="H141" s="3">
        <v>2</v>
      </c>
      <c r="I141" s="3">
        <v>28</v>
      </c>
      <c r="J141" t="s">
        <v>15</v>
      </c>
    </row>
    <row r="142" spans="1:10">
      <c r="A142" t="s">
        <v>174</v>
      </c>
      <c r="B142" t="s">
        <v>11</v>
      </c>
      <c r="C142">
        <v>33</v>
      </c>
      <c r="D142" t="s">
        <v>28</v>
      </c>
      <c r="E142" t="s">
        <v>51</v>
      </c>
      <c r="F142" t="s">
        <v>14</v>
      </c>
      <c r="G142" s="2">
        <v>745000</v>
      </c>
      <c r="H142" s="3">
        <v>0</v>
      </c>
      <c r="I142" s="3">
        <v>47</v>
      </c>
      <c r="J142" t="s">
        <v>15</v>
      </c>
    </row>
    <row r="143" spans="1:10">
      <c r="A143" t="s">
        <v>175</v>
      </c>
      <c r="B143" t="s">
        <v>11</v>
      </c>
      <c r="C143">
        <v>31</v>
      </c>
      <c r="D143" t="s">
        <v>17</v>
      </c>
      <c r="E143" t="s">
        <v>31</v>
      </c>
      <c r="F143" t="s">
        <v>14</v>
      </c>
      <c r="G143" s="2">
        <v>625000</v>
      </c>
      <c r="H143" s="3">
        <v>0</v>
      </c>
      <c r="I143" s="3">
        <v>18</v>
      </c>
      <c r="J143" t="s">
        <v>15</v>
      </c>
    </row>
    <row r="144" spans="1:10">
      <c r="A144" t="s">
        <v>176</v>
      </c>
      <c r="B144" t="s">
        <v>11</v>
      </c>
      <c r="C144">
        <v>35</v>
      </c>
      <c r="D144" t="s">
        <v>28</v>
      </c>
      <c r="E144" t="s">
        <v>47</v>
      </c>
      <c r="F144" t="s">
        <v>34</v>
      </c>
      <c r="G144" s="2">
        <v>1245000</v>
      </c>
      <c r="H144" s="3">
        <v>0</v>
      </c>
      <c r="I144" s="3">
        <v>51</v>
      </c>
      <c r="J144" t="s">
        <v>15</v>
      </c>
    </row>
    <row r="145" spans="1:10">
      <c r="A145" t="s">
        <v>177</v>
      </c>
      <c r="B145" t="s">
        <v>11</v>
      </c>
      <c r="C145">
        <v>37</v>
      </c>
      <c r="D145" t="s">
        <v>17</v>
      </c>
      <c r="E145" t="s">
        <v>20</v>
      </c>
      <c r="F145" t="s">
        <v>14</v>
      </c>
      <c r="G145" s="2">
        <v>785000</v>
      </c>
      <c r="H145" s="3">
        <v>0</v>
      </c>
      <c r="I145" s="3">
        <v>17</v>
      </c>
      <c r="J145" t="s">
        <v>15</v>
      </c>
    </row>
    <row r="146" spans="1:10">
      <c r="A146" t="s">
        <v>178</v>
      </c>
      <c r="B146" t="s">
        <v>11</v>
      </c>
      <c r="C146">
        <v>36</v>
      </c>
      <c r="D146" t="s">
        <v>58</v>
      </c>
      <c r="E146" t="s">
        <v>31</v>
      </c>
      <c r="F146" t="s">
        <v>14</v>
      </c>
      <c r="G146" s="2">
        <v>810000</v>
      </c>
      <c r="H146" s="3">
        <v>1</v>
      </c>
      <c r="I146" s="3">
        <v>41</v>
      </c>
      <c r="J146" t="s">
        <v>15</v>
      </c>
    </row>
    <row r="147" spans="1:10">
      <c r="A147" t="s">
        <v>179</v>
      </c>
      <c r="B147" t="s">
        <v>23</v>
      </c>
      <c r="C147">
        <v>40</v>
      </c>
      <c r="D147" t="s">
        <v>17</v>
      </c>
      <c r="E147" t="s">
        <v>18</v>
      </c>
      <c r="F147" t="s">
        <v>34</v>
      </c>
      <c r="G147" s="2">
        <v>1380000</v>
      </c>
      <c r="H147" s="3">
        <v>2</v>
      </c>
      <c r="I147" s="3">
        <v>43</v>
      </c>
      <c r="J147" t="s">
        <v>15</v>
      </c>
    </row>
    <row r="148" spans="1:10">
      <c r="A148" t="s">
        <v>180</v>
      </c>
      <c r="B148" t="s">
        <v>11</v>
      </c>
      <c r="C148">
        <v>33</v>
      </c>
      <c r="D148" t="s">
        <v>28</v>
      </c>
      <c r="E148" t="s">
        <v>13</v>
      </c>
      <c r="F148" t="s">
        <v>14</v>
      </c>
      <c r="G148" s="2">
        <v>765000</v>
      </c>
      <c r="H148" s="3">
        <v>1</v>
      </c>
      <c r="I148" s="3">
        <v>29</v>
      </c>
      <c r="J148" t="s">
        <v>15</v>
      </c>
    </row>
    <row r="149" spans="1:10">
      <c r="A149" t="s">
        <v>181</v>
      </c>
      <c r="B149" t="s">
        <v>11</v>
      </c>
      <c r="C149">
        <v>30</v>
      </c>
      <c r="D149" t="s">
        <v>17</v>
      </c>
      <c r="E149" t="s">
        <v>31</v>
      </c>
      <c r="F149" t="s">
        <v>14</v>
      </c>
      <c r="G149" s="2">
        <v>785000</v>
      </c>
      <c r="H149" s="3">
        <v>0</v>
      </c>
      <c r="I149" s="3">
        <v>24</v>
      </c>
      <c r="J149" t="s">
        <v>15</v>
      </c>
    </row>
    <row r="150" spans="1:10">
      <c r="A150" t="s">
        <v>182</v>
      </c>
      <c r="B150" t="s">
        <v>23</v>
      </c>
      <c r="C150">
        <v>41</v>
      </c>
      <c r="D150" t="s">
        <v>12</v>
      </c>
      <c r="E150" t="s">
        <v>51</v>
      </c>
      <c r="F150" t="s">
        <v>34</v>
      </c>
      <c r="G150" s="2">
        <v>980000</v>
      </c>
      <c r="H150" s="3">
        <v>0</v>
      </c>
      <c r="I150" s="3">
        <v>60</v>
      </c>
      <c r="J150" t="s">
        <v>15</v>
      </c>
    </row>
    <row r="151" spans="1:10">
      <c r="A151" t="s">
        <v>183</v>
      </c>
      <c r="B151" t="s">
        <v>66</v>
      </c>
      <c r="C151">
        <v>45</v>
      </c>
      <c r="D151" t="s">
        <v>28</v>
      </c>
      <c r="E151" t="s">
        <v>51</v>
      </c>
      <c r="F151" t="s">
        <v>34</v>
      </c>
      <c r="G151" s="2">
        <v>1490000</v>
      </c>
      <c r="H151" s="3">
        <v>1</v>
      </c>
      <c r="I151" s="3">
        <v>59</v>
      </c>
      <c r="J151" t="s">
        <v>15</v>
      </c>
    </row>
    <row r="152" spans="1:10">
      <c r="A152" t="s">
        <v>184</v>
      </c>
      <c r="B152" t="s">
        <v>11</v>
      </c>
      <c r="C152">
        <v>24</v>
      </c>
      <c r="D152" t="s">
        <v>17</v>
      </c>
      <c r="E152" t="s">
        <v>51</v>
      </c>
      <c r="F152" t="s">
        <v>24</v>
      </c>
      <c r="G152" s="2">
        <v>465000</v>
      </c>
      <c r="H152" s="3">
        <v>0</v>
      </c>
      <c r="I152" s="3">
        <v>16</v>
      </c>
      <c r="J152" t="s">
        <v>15</v>
      </c>
    </row>
    <row r="153" spans="1:10">
      <c r="A153" t="s">
        <v>185</v>
      </c>
      <c r="B153" t="s">
        <v>66</v>
      </c>
      <c r="C153">
        <v>27</v>
      </c>
      <c r="D153" t="s">
        <v>17</v>
      </c>
      <c r="E153" t="s">
        <v>18</v>
      </c>
      <c r="F153" t="s">
        <v>14</v>
      </c>
      <c r="G153" s="2">
        <v>795000</v>
      </c>
      <c r="H153" s="3">
        <v>1</v>
      </c>
      <c r="I153" s="3">
        <v>19</v>
      </c>
      <c r="J153" t="s">
        <v>15</v>
      </c>
    </row>
    <row r="154" spans="1:10">
      <c r="A154" t="s">
        <v>186</v>
      </c>
      <c r="B154" t="s">
        <v>23</v>
      </c>
      <c r="C154">
        <v>35</v>
      </c>
      <c r="D154" t="s">
        <v>17</v>
      </c>
      <c r="E154" t="s">
        <v>51</v>
      </c>
      <c r="F154" t="s">
        <v>14</v>
      </c>
      <c r="G154" s="2">
        <v>985000</v>
      </c>
      <c r="H154" s="3">
        <v>2</v>
      </c>
      <c r="I154" s="3">
        <v>43</v>
      </c>
      <c r="J154" t="s">
        <v>29</v>
      </c>
    </row>
    <row r="155" spans="1:10">
      <c r="A155" t="s">
        <v>187</v>
      </c>
      <c r="B155" t="s">
        <v>11</v>
      </c>
      <c r="C155">
        <v>27</v>
      </c>
      <c r="D155" t="s">
        <v>12</v>
      </c>
      <c r="E155" t="s">
        <v>42</v>
      </c>
      <c r="F155" t="s">
        <v>14</v>
      </c>
      <c r="G155" s="2">
        <v>835000</v>
      </c>
      <c r="H155" s="3">
        <v>0</v>
      </c>
      <c r="I155" s="3">
        <v>36</v>
      </c>
      <c r="J155" t="s">
        <v>29</v>
      </c>
    </row>
    <row r="156" spans="1:10">
      <c r="A156" t="s">
        <v>188</v>
      </c>
      <c r="B156" t="s">
        <v>11</v>
      </c>
      <c r="C156">
        <v>30</v>
      </c>
      <c r="D156" t="s">
        <v>28</v>
      </c>
      <c r="E156" t="s">
        <v>18</v>
      </c>
      <c r="F156" t="s">
        <v>21</v>
      </c>
      <c r="G156" s="2">
        <v>630000</v>
      </c>
      <c r="H156" s="3">
        <v>0</v>
      </c>
      <c r="I156" s="3">
        <v>29</v>
      </c>
      <c r="J156" t="s">
        <v>15</v>
      </c>
    </row>
    <row r="157" spans="1:10">
      <c r="A157" t="s">
        <v>189</v>
      </c>
      <c r="B157" t="s">
        <v>11</v>
      </c>
      <c r="C157">
        <v>41</v>
      </c>
      <c r="D157" t="s">
        <v>12</v>
      </c>
      <c r="E157" t="s">
        <v>36</v>
      </c>
      <c r="F157" t="s">
        <v>34</v>
      </c>
      <c r="G157" s="2">
        <v>955000</v>
      </c>
      <c r="H157" s="3">
        <v>2</v>
      </c>
      <c r="I157" s="3">
        <v>41</v>
      </c>
      <c r="J157" t="s">
        <v>15</v>
      </c>
    </row>
    <row r="158" spans="1:10">
      <c r="A158" t="s">
        <v>190</v>
      </c>
      <c r="B158" t="s">
        <v>11</v>
      </c>
      <c r="C158">
        <v>25</v>
      </c>
      <c r="D158" t="s">
        <v>58</v>
      </c>
      <c r="E158" t="s">
        <v>18</v>
      </c>
      <c r="F158" t="s">
        <v>21</v>
      </c>
      <c r="G158" s="2">
        <v>575000</v>
      </c>
      <c r="H158" s="3">
        <v>0</v>
      </c>
      <c r="I158" s="3">
        <v>31</v>
      </c>
      <c r="J158" t="s">
        <v>15</v>
      </c>
    </row>
    <row r="159" spans="1:10">
      <c r="A159" t="s">
        <v>191</v>
      </c>
      <c r="B159" t="s">
        <v>11</v>
      </c>
      <c r="C159">
        <v>26</v>
      </c>
      <c r="D159" t="s">
        <v>17</v>
      </c>
      <c r="E159" t="s">
        <v>13</v>
      </c>
      <c r="F159" t="s">
        <v>24</v>
      </c>
      <c r="G159" s="2">
        <v>320000</v>
      </c>
      <c r="H159" s="3">
        <v>0</v>
      </c>
      <c r="I159" s="3">
        <v>20</v>
      </c>
      <c r="J159" t="s">
        <v>15</v>
      </c>
    </row>
    <row r="160" spans="1:10">
      <c r="A160" t="s">
        <v>192</v>
      </c>
      <c r="B160" t="s">
        <v>61</v>
      </c>
      <c r="C160">
        <v>33</v>
      </c>
      <c r="D160" t="s">
        <v>28</v>
      </c>
      <c r="E160" t="s">
        <v>51</v>
      </c>
      <c r="F160" t="s">
        <v>14</v>
      </c>
      <c r="G160" s="2">
        <v>865000</v>
      </c>
      <c r="H160" s="3">
        <v>0</v>
      </c>
      <c r="I160" s="3">
        <v>38</v>
      </c>
      <c r="J160" t="s">
        <v>15</v>
      </c>
    </row>
    <row r="161" spans="1:10">
      <c r="A161" t="s">
        <v>193</v>
      </c>
      <c r="B161" t="s">
        <v>23</v>
      </c>
      <c r="C161">
        <v>25</v>
      </c>
      <c r="D161" t="s">
        <v>28</v>
      </c>
      <c r="E161" t="s">
        <v>42</v>
      </c>
      <c r="F161" t="s">
        <v>21</v>
      </c>
      <c r="G161" s="2">
        <v>480000</v>
      </c>
      <c r="H161" s="3">
        <v>0</v>
      </c>
      <c r="I161" s="3">
        <v>37</v>
      </c>
      <c r="J161" t="s">
        <v>15</v>
      </c>
    </row>
    <row r="162" spans="1:10">
      <c r="A162" t="s">
        <v>194</v>
      </c>
      <c r="B162" t="s">
        <v>23</v>
      </c>
      <c r="C162">
        <v>45</v>
      </c>
      <c r="D162" t="s">
        <v>12</v>
      </c>
      <c r="E162" t="s">
        <v>31</v>
      </c>
      <c r="F162" t="s">
        <v>34</v>
      </c>
      <c r="G162" s="2">
        <v>1035000</v>
      </c>
      <c r="H162" s="3">
        <v>1</v>
      </c>
      <c r="I162" s="3">
        <v>29</v>
      </c>
      <c r="J162" t="s">
        <v>15</v>
      </c>
    </row>
    <row r="163" spans="1:10">
      <c r="A163" t="s">
        <v>195</v>
      </c>
      <c r="B163" t="s">
        <v>23</v>
      </c>
      <c r="C163">
        <v>31</v>
      </c>
      <c r="D163" t="s">
        <v>12</v>
      </c>
      <c r="E163" t="s">
        <v>51</v>
      </c>
      <c r="F163" t="s">
        <v>34</v>
      </c>
      <c r="G163" s="2">
        <v>1330000</v>
      </c>
      <c r="H163" s="3">
        <v>0</v>
      </c>
      <c r="I163" s="3">
        <v>35</v>
      </c>
      <c r="J163" t="s">
        <v>29</v>
      </c>
    </row>
    <row r="164" spans="1:10">
      <c r="A164" t="s">
        <v>196</v>
      </c>
      <c r="B164" t="s">
        <v>23</v>
      </c>
      <c r="C164">
        <v>26</v>
      </c>
      <c r="D164" t="s">
        <v>28</v>
      </c>
      <c r="E164" t="s">
        <v>51</v>
      </c>
      <c r="F164" t="s">
        <v>21</v>
      </c>
      <c r="G164" s="2">
        <v>560000</v>
      </c>
      <c r="H164" s="3">
        <v>1</v>
      </c>
      <c r="I164" s="3">
        <v>35</v>
      </c>
      <c r="J164" t="s">
        <v>15</v>
      </c>
    </row>
    <row r="165" spans="1:10">
      <c r="A165" t="s">
        <v>197</v>
      </c>
      <c r="B165" t="s">
        <v>23</v>
      </c>
      <c r="C165">
        <v>31</v>
      </c>
      <c r="D165" t="s">
        <v>58</v>
      </c>
      <c r="E165" t="s">
        <v>31</v>
      </c>
      <c r="F165" t="s">
        <v>14</v>
      </c>
      <c r="G165" s="2">
        <v>800000</v>
      </c>
      <c r="H165" s="3">
        <v>1</v>
      </c>
      <c r="I165" s="3">
        <v>41</v>
      </c>
      <c r="J165" t="s">
        <v>29</v>
      </c>
    </row>
    <row r="166" spans="1:10">
      <c r="A166" t="s">
        <v>198</v>
      </c>
      <c r="B166" t="s">
        <v>11</v>
      </c>
      <c r="C166">
        <v>36</v>
      </c>
      <c r="D166" t="s">
        <v>58</v>
      </c>
      <c r="E166" t="s">
        <v>13</v>
      </c>
      <c r="F166" t="s">
        <v>43</v>
      </c>
      <c r="G166" s="2">
        <v>1970000</v>
      </c>
      <c r="H166" s="3">
        <v>1</v>
      </c>
      <c r="I166" s="3">
        <v>48</v>
      </c>
      <c r="J166" t="s">
        <v>15</v>
      </c>
    </row>
    <row r="167" spans="1:10">
      <c r="A167" t="s">
        <v>199</v>
      </c>
      <c r="B167" t="s">
        <v>11</v>
      </c>
      <c r="C167">
        <v>25</v>
      </c>
      <c r="D167" t="s">
        <v>58</v>
      </c>
      <c r="E167" t="s">
        <v>47</v>
      </c>
      <c r="F167" t="s">
        <v>21</v>
      </c>
      <c r="G167" s="2">
        <v>545000</v>
      </c>
      <c r="H167" s="3">
        <v>0</v>
      </c>
      <c r="I167" s="3">
        <v>26</v>
      </c>
      <c r="J167" t="s">
        <v>15</v>
      </c>
    </row>
    <row r="168" spans="1:10">
      <c r="A168" t="s">
        <v>200</v>
      </c>
      <c r="B168" t="s">
        <v>23</v>
      </c>
      <c r="C168">
        <v>45</v>
      </c>
      <c r="D168" t="s">
        <v>17</v>
      </c>
      <c r="E168" t="s">
        <v>13</v>
      </c>
      <c r="F168" t="s">
        <v>34</v>
      </c>
      <c r="G168" s="2">
        <v>1265000</v>
      </c>
      <c r="H168" s="3">
        <v>3</v>
      </c>
      <c r="I168" s="3">
        <v>46</v>
      </c>
      <c r="J168" t="s">
        <v>15</v>
      </c>
    </row>
    <row r="169" spans="1:10">
      <c r="A169" t="s">
        <v>201</v>
      </c>
      <c r="B169" t="s">
        <v>11</v>
      </c>
      <c r="C169">
        <v>23</v>
      </c>
      <c r="D169" t="s">
        <v>17</v>
      </c>
      <c r="E169" t="s">
        <v>42</v>
      </c>
      <c r="F169" t="s">
        <v>21</v>
      </c>
      <c r="G169" s="2">
        <v>565000</v>
      </c>
      <c r="H169" s="3">
        <v>1</v>
      </c>
      <c r="I169" s="3">
        <v>36</v>
      </c>
      <c r="J169" t="s">
        <v>15</v>
      </c>
    </row>
    <row r="170" spans="1:10">
      <c r="A170" t="s">
        <v>202</v>
      </c>
      <c r="B170" t="s">
        <v>11</v>
      </c>
      <c r="C170">
        <v>30</v>
      </c>
      <c r="D170" t="s">
        <v>17</v>
      </c>
      <c r="E170" t="s">
        <v>36</v>
      </c>
      <c r="F170" t="s">
        <v>21</v>
      </c>
      <c r="G170" s="2">
        <v>475000</v>
      </c>
      <c r="H170" s="3">
        <v>1</v>
      </c>
      <c r="I170" s="3">
        <v>25</v>
      </c>
      <c r="J170" t="s">
        <v>15</v>
      </c>
    </row>
    <row r="171" spans="1:10">
      <c r="A171" t="s">
        <v>203</v>
      </c>
      <c r="B171" t="s">
        <v>11</v>
      </c>
      <c r="C171">
        <v>25</v>
      </c>
      <c r="D171" t="s">
        <v>28</v>
      </c>
      <c r="E171" t="s">
        <v>36</v>
      </c>
      <c r="F171" t="s">
        <v>21</v>
      </c>
      <c r="G171" s="2">
        <v>690000</v>
      </c>
      <c r="H171" s="3">
        <v>1</v>
      </c>
      <c r="I171" s="3">
        <v>29</v>
      </c>
      <c r="J171" t="s">
        <v>15</v>
      </c>
    </row>
    <row r="172" spans="1:10">
      <c r="A172" t="s">
        <v>204</v>
      </c>
      <c r="B172" t="s">
        <v>11</v>
      </c>
      <c r="C172">
        <v>22</v>
      </c>
      <c r="D172" t="s">
        <v>58</v>
      </c>
      <c r="E172" t="s">
        <v>42</v>
      </c>
      <c r="F172" t="s">
        <v>24</v>
      </c>
      <c r="G172" s="2">
        <v>410000</v>
      </c>
      <c r="H172" s="3">
        <v>0</v>
      </c>
      <c r="I172" s="3">
        <v>27</v>
      </c>
      <c r="J172" t="s">
        <v>15</v>
      </c>
    </row>
    <row r="173" spans="1:10">
      <c r="A173" t="s">
        <v>205</v>
      </c>
      <c r="B173" t="s">
        <v>23</v>
      </c>
      <c r="C173">
        <v>36</v>
      </c>
      <c r="D173" t="s">
        <v>17</v>
      </c>
      <c r="E173" t="s">
        <v>18</v>
      </c>
      <c r="F173" t="s">
        <v>14</v>
      </c>
      <c r="G173" s="2">
        <v>725000</v>
      </c>
      <c r="H173" s="3">
        <v>1</v>
      </c>
      <c r="I173" s="3">
        <v>33</v>
      </c>
      <c r="J173" t="s">
        <v>15</v>
      </c>
    </row>
    <row r="174" spans="1:10">
      <c r="A174" t="s">
        <v>206</v>
      </c>
      <c r="B174" t="s">
        <v>23</v>
      </c>
      <c r="C174">
        <v>24</v>
      </c>
      <c r="D174" t="s">
        <v>58</v>
      </c>
      <c r="E174" t="s">
        <v>42</v>
      </c>
      <c r="F174" t="s">
        <v>21</v>
      </c>
      <c r="G174" s="2">
        <v>675000</v>
      </c>
      <c r="H174" s="3">
        <v>1</v>
      </c>
      <c r="I174" s="3">
        <v>12</v>
      </c>
      <c r="J174" t="s">
        <v>29</v>
      </c>
    </row>
    <row r="175" spans="1:10">
      <c r="A175" t="s">
        <v>207</v>
      </c>
      <c r="B175" t="s">
        <v>11</v>
      </c>
      <c r="C175">
        <v>30</v>
      </c>
      <c r="D175" t="s">
        <v>58</v>
      </c>
      <c r="E175" t="s">
        <v>20</v>
      </c>
      <c r="F175" t="s">
        <v>21</v>
      </c>
      <c r="G175" s="2">
        <v>425000</v>
      </c>
      <c r="H175" s="3">
        <v>0</v>
      </c>
      <c r="I175" s="3">
        <v>21</v>
      </c>
      <c r="J175" t="s">
        <v>15</v>
      </c>
    </row>
    <row r="176" spans="1:10">
      <c r="A176" t="s">
        <v>208</v>
      </c>
      <c r="B176" t="s">
        <v>23</v>
      </c>
      <c r="C176">
        <v>24</v>
      </c>
      <c r="D176" t="s">
        <v>17</v>
      </c>
      <c r="E176" t="s">
        <v>51</v>
      </c>
      <c r="F176" t="s">
        <v>21</v>
      </c>
      <c r="G176" s="2">
        <v>575000</v>
      </c>
      <c r="H176" s="3">
        <v>0</v>
      </c>
      <c r="I176" s="3">
        <v>21</v>
      </c>
      <c r="J176" t="s">
        <v>15</v>
      </c>
    </row>
    <row r="177" spans="1:10">
      <c r="A177" t="s">
        <v>209</v>
      </c>
      <c r="B177" t="s">
        <v>23</v>
      </c>
      <c r="C177">
        <v>55</v>
      </c>
      <c r="D177" t="s">
        <v>28</v>
      </c>
      <c r="E177" t="s">
        <v>36</v>
      </c>
      <c r="F177" t="s">
        <v>26</v>
      </c>
      <c r="G177" s="2">
        <v>2460000</v>
      </c>
      <c r="H177" s="3">
        <v>0</v>
      </c>
      <c r="I177" s="3">
        <v>38</v>
      </c>
      <c r="J177" t="s">
        <v>15</v>
      </c>
    </row>
    <row r="178" spans="1:10">
      <c r="A178" t="s">
        <v>210</v>
      </c>
      <c r="B178" t="s">
        <v>66</v>
      </c>
      <c r="C178">
        <v>26</v>
      </c>
      <c r="D178" t="s">
        <v>28</v>
      </c>
      <c r="E178" t="s">
        <v>36</v>
      </c>
      <c r="F178" t="s">
        <v>21</v>
      </c>
      <c r="G178" s="2">
        <v>420000</v>
      </c>
      <c r="H178" s="3">
        <v>0</v>
      </c>
      <c r="I178" s="3">
        <v>19</v>
      </c>
      <c r="J178" t="s">
        <v>15</v>
      </c>
    </row>
    <row r="179" spans="1:10">
      <c r="A179" t="s">
        <v>211</v>
      </c>
      <c r="B179" t="s">
        <v>11</v>
      </c>
      <c r="C179">
        <v>26</v>
      </c>
      <c r="D179" t="s">
        <v>17</v>
      </c>
      <c r="E179" t="s">
        <v>20</v>
      </c>
      <c r="F179" t="s">
        <v>24</v>
      </c>
      <c r="G179" s="2">
        <v>350000</v>
      </c>
      <c r="H179" s="3">
        <v>0</v>
      </c>
      <c r="I179" s="3">
        <v>9</v>
      </c>
      <c r="J179" t="s">
        <v>29</v>
      </c>
    </row>
    <row r="180" spans="1:10">
      <c r="A180" t="s">
        <v>212</v>
      </c>
      <c r="B180" t="s">
        <v>11</v>
      </c>
      <c r="C180">
        <v>33</v>
      </c>
      <c r="D180" t="s">
        <v>12</v>
      </c>
      <c r="E180" t="s">
        <v>20</v>
      </c>
      <c r="F180" t="s">
        <v>14</v>
      </c>
      <c r="G180" s="2">
        <v>990000</v>
      </c>
      <c r="H180" s="3">
        <v>0</v>
      </c>
      <c r="I180" s="3">
        <v>39</v>
      </c>
      <c r="J180" t="s">
        <v>15</v>
      </c>
    </row>
    <row r="181" spans="1:10">
      <c r="A181" t="s">
        <v>213</v>
      </c>
      <c r="B181" t="s">
        <v>23</v>
      </c>
      <c r="C181">
        <v>51</v>
      </c>
      <c r="D181" t="s">
        <v>58</v>
      </c>
      <c r="E181" t="s">
        <v>36</v>
      </c>
      <c r="F181" t="s">
        <v>43</v>
      </c>
      <c r="G181" s="2">
        <v>1580000</v>
      </c>
      <c r="H181" s="3">
        <v>2</v>
      </c>
      <c r="I181" s="3">
        <v>52</v>
      </c>
      <c r="J181" t="s">
        <v>15</v>
      </c>
    </row>
    <row r="182" spans="1:10">
      <c r="A182" t="s">
        <v>214</v>
      </c>
      <c r="B182" t="s">
        <v>23</v>
      </c>
      <c r="C182">
        <v>24</v>
      </c>
      <c r="D182" t="s">
        <v>17</v>
      </c>
      <c r="E182" t="s">
        <v>51</v>
      </c>
      <c r="F182" t="s">
        <v>21</v>
      </c>
      <c r="G182" s="2">
        <v>570000</v>
      </c>
      <c r="H182" s="3">
        <v>0</v>
      </c>
      <c r="I182" s="3">
        <v>19</v>
      </c>
      <c r="J182" t="s">
        <v>15</v>
      </c>
    </row>
    <row r="183" spans="1:10">
      <c r="A183" t="s">
        <v>215</v>
      </c>
      <c r="B183" t="s">
        <v>66</v>
      </c>
      <c r="C183">
        <v>23</v>
      </c>
      <c r="D183" t="s">
        <v>58</v>
      </c>
      <c r="E183" t="s">
        <v>13</v>
      </c>
      <c r="F183" t="s">
        <v>21</v>
      </c>
      <c r="G183" s="2">
        <v>585000</v>
      </c>
      <c r="H183" s="3">
        <v>0</v>
      </c>
      <c r="I183" s="3">
        <v>23</v>
      </c>
      <c r="J183" t="s">
        <v>15</v>
      </c>
    </row>
    <row r="184" spans="1:10">
      <c r="A184" t="s">
        <v>216</v>
      </c>
      <c r="B184" t="s">
        <v>11</v>
      </c>
      <c r="C184">
        <v>37</v>
      </c>
      <c r="D184" t="s">
        <v>12</v>
      </c>
      <c r="E184" t="s">
        <v>51</v>
      </c>
      <c r="F184" t="s">
        <v>34</v>
      </c>
      <c r="G184" s="2">
        <v>1280000</v>
      </c>
      <c r="H184" s="3">
        <v>1</v>
      </c>
      <c r="I184" s="3">
        <v>30</v>
      </c>
      <c r="J184" t="s">
        <v>29</v>
      </c>
    </row>
    <row r="185" spans="1:10">
      <c r="A185" t="s">
        <v>217</v>
      </c>
      <c r="B185" t="s">
        <v>61</v>
      </c>
      <c r="C185">
        <v>21</v>
      </c>
      <c r="D185" t="s">
        <v>17</v>
      </c>
      <c r="E185" t="s">
        <v>31</v>
      </c>
      <c r="F185" t="s">
        <v>24</v>
      </c>
      <c r="G185" s="2">
        <v>360000</v>
      </c>
      <c r="H185" s="3">
        <v>1</v>
      </c>
      <c r="I185" s="3">
        <v>19</v>
      </c>
      <c r="J185" t="s">
        <v>15</v>
      </c>
    </row>
    <row r="186" spans="1:10">
      <c r="A186" t="s">
        <v>218</v>
      </c>
      <c r="B186" t="s">
        <v>23</v>
      </c>
      <c r="C186">
        <v>36</v>
      </c>
      <c r="D186" t="s">
        <v>28</v>
      </c>
      <c r="E186" t="s">
        <v>36</v>
      </c>
      <c r="F186" t="s">
        <v>34</v>
      </c>
      <c r="G186" s="2">
        <v>1290000</v>
      </c>
      <c r="H186" s="3">
        <v>1</v>
      </c>
      <c r="I186" s="3">
        <v>24</v>
      </c>
      <c r="J186" t="s">
        <v>15</v>
      </c>
    </row>
    <row r="187" spans="1:10">
      <c r="A187" t="s">
        <v>219</v>
      </c>
      <c r="B187" t="s">
        <v>23</v>
      </c>
      <c r="C187">
        <v>24</v>
      </c>
      <c r="D187" t="s">
        <v>17</v>
      </c>
      <c r="E187" t="s">
        <v>36</v>
      </c>
      <c r="F187" t="s">
        <v>21</v>
      </c>
      <c r="G187" s="2">
        <v>415000</v>
      </c>
      <c r="H187" s="3">
        <v>1</v>
      </c>
      <c r="I187" s="3">
        <v>25</v>
      </c>
      <c r="J187" t="s">
        <v>15</v>
      </c>
    </row>
    <row r="188" spans="1:10">
      <c r="A188" t="s">
        <v>220</v>
      </c>
      <c r="B188" t="s">
        <v>11</v>
      </c>
      <c r="C188">
        <v>34</v>
      </c>
      <c r="D188" t="s">
        <v>17</v>
      </c>
      <c r="E188" t="s">
        <v>31</v>
      </c>
      <c r="F188" t="s">
        <v>34</v>
      </c>
      <c r="G188" s="2">
        <v>1200000</v>
      </c>
      <c r="H188" s="3">
        <v>1</v>
      </c>
      <c r="I188" s="3">
        <v>51</v>
      </c>
      <c r="J188" t="s">
        <v>15</v>
      </c>
    </row>
    <row r="189" spans="1:10">
      <c r="A189" t="s">
        <v>221</v>
      </c>
      <c r="B189" t="s">
        <v>23</v>
      </c>
      <c r="C189">
        <v>49</v>
      </c>
      <c r="D189" t="s">
        <v>28</v>
      </c>
      <c r="E189" t="s">
        <v>36</v>
      </c>
      <c r="F189" t="s">
        <v>43</v>
      </c>
      <c r="G189" s="2">
        <v>1390000</v>
      </c>
      <c r="H189" s="3">
        <v>2</v>
      </c>
      <c r="I189" s="3">
        <v>45</v>
      </c>
      <c r="J189" t="s">
        <v>15</v>
      </c>
    </row>
    <row r="190" spans="1:10">
      <c r="A190" t="s">
        <v>222</v>
      </c>
      <c r="B190" t="s">
        <v>11</v>
      </c>
      <c r="C190">
        <v>40</v>
      </c>
      <c r="D190" t="s">
        <v>17</v>
      </c>
      <c r="E190" t="s">
        <v>31</v>
      </c>
      <c r="F190" t="s">
        <v>43</v>
      </c>
      <c r="G190" s="2">
        <v>1970000</v>
      </c>
      <c r="H190" s="3">
        <v>0</v>
      </c>
      <c r="I190" s="3">
        <v>48</v>
      </c>
      <c r="J190" t="s">
        <v>15</v>
      </c>
    </row>
    <row r="191" spans="1:10">
      <c r="A191" t="s">
        <v>223</v>
      </c>
      <c r="B191" t="s">
        <v>23</v>
      </c>
      <c r="C191">
        <v>30</v>
      </c>
      <c r="D191" t="s">
        <v>12</v>
      </c>
      <c r="E191" t="s">
        <v>13</v>
      </c>
      <c r="F191" t="s">
        <v>21</v>
      </c>
      <c r="G191" s="2">
        <v>415000</v>
      </c>
      <c r="H191" s="3">
        <v>0</v>
      </c>
      <c r="I191" s="3">
        <v>28</v>
      </c>
      <c r="J191" t="s">
        <v>15</v>
      </c>
    </row>
    <row r="192" spans="1:10">
      <c r="A192" t="s">
        <v>224</v>
      </c>
      <c r="B192" t="s">
        <v>11</v>
      </c>
      <c r="C192">
        <v>24</v>
      </c>
      <c r="D192" t="s">
        <v>12</v>
      </c>
      <c r="E192" t="s">
        <v>31</v>
      </c>
      <c r="F192" t="s">
        <v>24</v>
      </c>
      <c r="G192" s="2">
        <v>490000</v>
      </c>
      <c r="H192" s="3">
        <v>1</v>
      </c>
      <c r="I192" s="3">
        <v>24</v>
      </c>
      <c r="J192" t="s">
        <v>15</v>
      </c>
    </row>
    <row r="193" spans="1:10">
      <c r="A193" t="s">
        <v>225</v>
      </c>
      <c r="B193" t="s">
        <v>11</v>
      </c>
      <c r="C193">
        <v>60</v>
      </c>
      <c r="D193" t="s">
        <v>58</v>
      </c>
      <c r="E193" t="s">
        <v>31</v>
      </c>
      <c r="F193" t="s">
        <v>26</v>
      </c>
      <c r="G193" s="2">
        <v>1880000</v>
      </c>
      <c r="H193" s="3">
        <v>1</v>
      </c>
      <c r="I193" s="3">
        <v>73</v>
      </c>
      <c r="J193" t="s">
        <v>15</v>
      </c>
    </row>
    <row r="194" spans="1:10">
      <c r="A194" t="s">
        <v>226</v>
      </c>
      <c r="B194" t="s">
        <v>23</v>
      </c>
      <c r="C194">
        <v>33</v>
      </c>
      <c r="D194" t="s">
        <v>28</v>
      </c>
      <c r="E194" t="s">
        <v>31</v>
      </c>
      <c r="F194" t="s">
        <v>34</v>
      </c>
      <c r="G194" s="2">
        <v>1355000</v>
      </c>
      <c r="H194" s="3">
        <v>1</v>
      </c>
      <c r="I194" s="3">
        <v>23</v>
      </c>
      <c r="J194" t="s">
        <v>15</v>
      </c>
    </row>
    <row r="195" spans="1:10">
      <c r="A195" t="s">
        <v>227</v>
      </c>
      <c r="B195" t="s">
        <v>23</v>
      </c>
      <c r="C195">
        <v>26</v>
      </c>
      <c r="D195" t="s">
        <v>17</v>
      </c>
      <c r="E195" t="s">
        <v>36</v>
      </c>
      <c r="F195" t="s">
        <v>21</v>
      </c>
      <c r="G195" s="2">
        <v>580000</v>
      </c>
      <c r="H195" s="3">
        <v>1</v>
      </c>
      <c r="I195" s="3">
        <v>26</v>
      </c>
      <c r="J195" t="s">
        <v>29</v>
      </c>
    </row>
    <row r="196" spans="1:10">
      <c r="A196" t="s">
        <v>228</v>
      </c>
      <c r="B196" t="s">
        <v>23</v>
      </c>
      <c r="C196">
        <v>23</v>
      </c>
      <c r="D196" t="s">
        <v>12</v>
      </c>
      <c r="E196" t="s">
        <v>31</v>
      </c>
      <c r="F196" t="s">
        <v>24</v>
      </c>
      <c r="G196" s="2">
        <v>460000</v>
      </c>
      <c r="H196" s="3">
        <v>0</v>
      </c>
      <c r="I196" s="3">
        <v>24</v>
      </c>
      <c r="J196" t="s">
        <v>15</v>
      </c>
    </row>
    <row r="197" spans="1:10">
      <c r="A197" t="s">
        <v>229</v>
      </c>
      <c r="B197" t="s">
        <v>23</v>
      </c>
      <c r="C197">
        <v>42</v>
      </c>
      <c r="D197" t="s">
        <v>17</v>
      </c>
      <c r="E197" t="s">
        <v>36</v>
      </c>
      <c r="F197" t="s">
        <v>34</v>
      </c>
      <c r="G197" s="2">
        <v>1255000</v>
      </c>
      <c r="H197" s="3">
        <v>2</v>
      </c>
      <c r="I197" s="3">
        <v>56</v>
      </c>
      <c r="J197" t="s">
        <v>15</v>
      </c>
    </row>
    <row r="198" spans="1:10">
      <c r="A198" t="s">
        <v>230</v>
      </c>
      <c r="B198" t="s">
        <v>23</v>
      </c>
      <c r="C198">
        <v>43</v>
      </c>
      <c r="D198" t="s">
        <v>28</v>
      </c>
      <c r="E198" t="s">
        <v>36</v>
      </c>
      <c r="F198" t="s">
        <v>34</v>
      </c>
      <c r="G198" s="2">
        <v>1500000</v>
      </c>
      <c r="H198" s="3">
        <v>1</v>
      </c>
      <c r="I198" s="3">
        <v>60</v>
      </c>
      <c r="J198" t="s">
        <v>15</v>
      </c>
    </row>
    <row r="199" spans="1:10">
      <c r="A199" t="s">
        <v>231</v>
      </c>
      <c r="B199" t="s">
        <v>11</v>
      </c>
      <c r="C199">
        <v>37</v>
      </c>
      <c r="D199" t="s">
        <v>28</v>
      </c>
      <c r="E199" t="s">
        <v>51</v>
      </c>
      <c r="F199" t="s">
        <v>14</v>
      </c>
      <c r="G199" s="2">
        <v>815000</v>
      </c>
      <c r="H199" s="3">
        <v>0</v>
      </c>
      <c r="I199" s="3">
        <v>19</v>
      </c>
      <c r="J199" t="s">
        <v>15</v>
      </c>
    </row>
    <row r="200" spans="1:10">
      <c r="A200" t="s">
        <v>232</v>
      </c>
      <c r="B200" t="s">
        <v>23</v>
      </c>
      <c r="C200">
        <v>25</v>
      </c>
      <c r="D200" t="s">
        <v>66</v>
      </c>
      <c r="E200" t="s">
        <v>31</v>
      </c>
      <c r="F200" t="s">
        <v>21</v>
      </c>
      <c r="G200" s="2">
        <v>565000</v>
      </c>
      <c r="H200" s="3">
        <v>1</v>
      </c>
      <c r="I200" s="3">
        <v>20</v>
      </c>
      <c r="J200" t="s">
        <v>15</v>
      </c>
    </row>
    <row r="201" spans="1:10">
      <c r="A201" t="s">
        <v>233</v>
      </c>
      <c r="B201" t="s">
        <v>11</v>
      </c>
      <c r="C201">
        <v>39</v>
      </c>
      <c r="D201" t="s">
        <v>17</v>
      </c>
      <c r="E201" t="s">
        <v>13</v>
      </c>
      <c r="F201" t="s">
        <v>34</v>
      </c>
      <c r="G201" s="2">
        <v>1490000</v>
      </c>
      <c r="H201" s="3">
        <v>0</v>
      </c>
      <c r="I201" s="3">
        <v>35</v>
      </c>
      <c r="J201" t="s">
        <v>15</v>
      </c>
    </row>
  </sheetData>
  <autoFilter ref="A1:J20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2" customWidth="1"/>
    <col min="2" max="2" width="90" customWidth="1"/>
  </cols>
  <sheetData>
    <row r="1" spans="1:2">
      <c r="A1" s="4" t="s">
        <v>234</v>
      </c>
      <c r="B1" s="4" t="s">
        <v>235</v>
      </c>
    </row>
    <row r="2" spans="1:2">
      <c r="A2" t="s">
        <v>236</v>
      </c>
      <c r="B2" t="s">
        <v>237</v>
      </c>
    </row>
    <row r="3" spans="1:2">
      <c r="A3" t="s">
        <v>238</v>
      </c>
      <c r="B3">
        <v>200</v>
      </c>
    </row>
    <row r="4" spans="1:2">
      <c r="A4" t="s">
        <v>239</v>
      </c>
      <c r="B4" t="s">
        <v>240</v>
      </c>
    </row>
    <row r="5" spans="1:2">
      <c r="A5" t="s">
        <v>241</v>
      </c>
      <c r="B5" t="s">
        <v>242</v>
      </c>
    </row>
    <row r="6" spans="1:2">
      <c r="A6" t="s">
        <v>243</v>
      </c>
      <c r="B6" t="s">
        <v>244</v>
      </c>
    </row>
    <row r="7" spans="1:2">
      <c r="A7" t="s">
        <v>245</v>
      </c>
      <c r="B7" t="s">
        <v>246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6"/>
  <sheetViews>
    <sheetView workbookViewId="0">
      <selection activeCell="A14" sqref="A14:B18"/>
    </sheetView>
  </sheetViews>
  <sheetFormatPr defaultRowHeight="14.4"/>
  <cols>
    <col min="1" max="1" width="19" customWidth="1"/>
    <col min="2" max="2" width="15.21875" customWidth="1"/>
  </cols>
  <sheetData>
    <row r="1" spans="1:7">
      <c r="A1" t="s">
        <v>250</v>
      </c>
    </row>
    <row r="3" spans="1:7">
      <c r="A3" t="s">
        <v>251</v>
      </c>
      <c r="B3">
        <f>COUNTA([1]Cleaned_Data!A2:A201)</f>
        <v>200</v>
      </c>
      <c r="D3" s="11" t="s">
        <v>267</v>
      </c>
      <c r="E3" s="11" t="s">
        <v>268</v>
      </c>
      <c r="F3" s="11" t="s">
        <v>254</v>
      </c>
      <c r="G3" s="11" t="s">
        <v>269</v>
      </c>
    </row>
    <row r="4" spans="1:7" ht="72">
      <c r="D4" s="12" t="s">
        <v>4</v>
      </c>
      <c r="E4" s="12" t="s">
        <v>270</v>
      </c>
      <c r="F4" s="12" t="s">
        <v>271</v>
      </c>
      <c r="G4" s="12" t="s">
        <v>272</v>
      </c>
    </row>
    <row r="5" spans="1:7" ht="14.4" customHeight="1">
      <c r="A5" s="12" t="s">
        <v>1</v>
      </c>
      <c r="B5" s="18" t="s">
        <v>252</v>
      </c>
      <c r="D5" s="12" t="s">
        <v>42</v>
      </c>
      <c r="E5" s="12">
        <f>26</f>
        <v>26</v>
      </c>
      <c r="F5" s="21">
        <v>10</v>
      </c>
      <c r="G5" s="22">
        <f>F5/E5</f>
        <v>0.38461538461538464</v>
      </c>
    </row>
    <row r="6" spans="1:7">
      <c r="A6" s="12" t="s">
        <v>253</v>
      </c>
      <c r="B6" s="16">
        <f>94/200</f>
        <v>0.47</v>
      </c>
      <c r="D6" s="12" t="s">
        <v>13</v>
      </c>
      <c r="E6" s="12">
        <f>25</f>
        <v>25</v>
      </c>
      <c r="F6" s="21">
        <v>11</v>
      </c>
      <c r="G6" s="22">
        <f t="shared" ref="G6:G12" si="0">F6/E6</f>
        <v>0.44</v>
      </c>
    </row>
    <row r="7" spans="1:7" ht="28.8">
      <c r="A7" s="12" t="s">
        <v>254</v>
      </c>
      <c r="B7" s="16">
        <f>94/200</f>
        <v>0.47</v>
      </c>
      <c r="D7" s="12" t="s">
        <v>31</v>
      </c>
      <c r="E7" s="12">
        <f>31</f>
        <v>31</v>
      </c>
      <c r="F7" s="21">
        <v>11</v>
      </c>
      <c r="G7" s="22">
        <f t="shared" si="0"/>
        <v>0.35483870967741937</v>
      </c>
    </row>
    <row r="8" spans="1:7">
      <c r="A8" s="12" t="s">
        <v>255</v>
      </c>
      <c r="B8" s="16">
        <f>4/200</f>
        <v>0.02</v>
      </c>
      <c r="D8" s="12" t="s">
        <v>47</v>
      </c>
      <c r="E8" s="12">
        <f>16</f>
        <v>16</v>
      </c>
      <c r="F8" s="21">
        <v>7</v>
      </c>
      <c r="G8" s="22">
        <f t="shared" si="0"/>
        <v>0.4375</v>
      </c>
    </row>
    <row r="9" spans="1:7">
      <c r="A9" s="12" t="s">
        <v>256</v>
      </c>
      <c r="B9" s="16">
        <f>8/200</f>
        <v>0.04</v>
      </c>
      <c r="D9" s="12" t="s">
        <v>36</v>
      </c>
      <c r="E9" s="12">
        <f>30</f>
        <v>30</v>
      </c>
      <c r="F9" s="21">
        <v>9</v>
      </c>
      <c r="G9" s="22">
        <f t="shared" si="0"/>
        <v>0.3</v>
      </c>
    </row>
    <row r="10" spans="1:7" ht="28.8">
      <c r="B10" s="17">
        <f>SUM(B6:B9)</f>
        <v>1</v>
      </c>
      <c r="D10" s="12" t="s">
        <v>20</v>
      </c>
      <c r="E10" s="12">
        <f>24</f>
        <v>24</v>
      </c>
      <c r="F10" s="21">
        <v>6</v>
      </c>
      <c r="G10" s="22">
        <f t="shared" si="0"/>
        <v>0.25</v>
      </c>
    </row>
    <row r="11" spans="1:7" ht="28.8">
      <c r="D11" s="12" t="s">
        <v>18</v>
      </c>
      <c r="E11" s="12">
        <f>19</f>
        <v>19</v>
      </c>
      <c r="F11" s="21">
        <v>10</v>
      </c>
      <c r="G11" s="22">
        <f t="shared" si="0"/>
        <v>0.52631578947368418</v>
      </c>
    </row>
    <row r="12" spans="1:7">
      <c r="D12" s="12" t="s">
        <v>51</v>
      </c>
      <c r="E12" s="12">
        <f>29</f>
        <v>29</v>
      </c>
      <c r="F12" s="21">
        <v>10</v>
      </c>
      <c r="G12" s="22">
        <f t="shared" si="0"/>
        <v>0.34482758620689657</v>
      </c>
    </row>
    <row r="13" spans="1:7" ht="28.8">
      <c r="A13" s="32" t="s">
        <v>265</v>
      </c>
      <c r="B13" s="32" t="s">
        <v>266</v>
      </c>
      <c r="E13">
        <f>SUM(E5:E12)</f>
        <v>200</v>
      </c>
      <c r="F13" s="21"/>
    </row>
    <row r="14" spans="1:7">
      <c r="A14" s="32" t="s">
        <v>262</v>
      </c>
      <c r="B14" s="33">
        <f>38/200</f>
        <v>0.19</v>
      </c>
    </row>
    <row r="15" spans="1:7">
      <c r="A15" s="32" t="s">
        <v>260</v>
      </c>
      <c r="B15" s="33">
        <f>84/200</f>
        <v>0.42</v>
      </c>
    </row>
    <row r="16" spans="1:7">
      <c r="A16" s="32" t="s">
        <v>261</v>
      </c>
      <c r="B16" s="33">
        <f>63/200</f>
        <v>0.315</v>
      </c>
    </row>
    <row r="17" spans="1:2">
      <c r="A17" s="32" t="s">
        <v>264</v>
      </c>
      <c r="B17" s="33">
        <f>13/200</f>
        <v>6.5000000000000002E-2</v>
      </c>
    </row>
    <row r="18" spans="1:2">
      <c r="A18" s="32" t="s">
        <v>263</v>
      </c>
      <c r="B18" s="33">
        <f>2/200</f>
        <v>0.01</v>
      </c>
    </row>
    <row r="19" spans="1:2">
      <c r="A19" s="34"/>
      <c r="B19" s="35">
        <f>SUM(B14:B18)</f>
        <v>1</v>
      </c>
    </row>
    <row r="21" spans="1:2">
      <c r="B21" s="19">
        <f>59/200</f>
        <v>0.29499999999999998</v>
      </c>
    </row>
    <row r="22" spans="1:2">
      <c r="B22" s="19">
        <f>58/200</f>
        <v>0.28999999999999998</v>
      </c>
    </row>
    <row r="23" spans="1:2">
      <c r="B23" s="19">
        <f>48/200</f>
        <v>0.24</v>
      </c>
    </row>
    <row r="24" spans="1:2">
      <c r="B24" s="19">
        <f>30/200</f>
        <v>0.15</v>
      </c>
    </row>
    <row r="25" spans="1:2">
      <c r="B25" s="19">
        <f>5/200</f>
        <v>2.5000000000000001E-2</v>
      </c>
    </row>
    <row r="26" spans="1:2">
      <c r="B26" s="17">
        <f>SUM(B21:B25)</f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"/>
  <sheetViews>
    <sheetView zoomScale="90" zoomScaleNormal="90" workbookViewId="0">
      <selection activeCell="L9" sqref="L9"/>
    </sheetView>
  </sheetViews>
  <sheetFormatPr defaultRowHeight="14.4"/>
  <cols>
    <col min="1" max="1" width="17.44140625" customWidth="1"/>
    <col min="2" max="2" width="20.6640625" customWidth="1"/>
    <col min="3" max="3" width="14.33203125" customWidth="1"/>
    <col min="4" max="4" width="14.6640625" customWidth="1"/>
  </cols>
  <sheetData>
    <row r="1" spans="1:6" ht="15.6" customHeight="1">
      <c r="A1" s="12" t="s">
        <v>1</v>
      </c>
      <c r="B1" s="12" t="s">
        <v>291</v>
      </c>
      <c r="C1" s="12" t="s">
        <v>292</v>
      </c>
      <c r="D1" t="s">
        <v>308</v>
      </c>
    </row>
    <row r="2" spans="1:6">
      <c r="A2" s="12" t="s">
        <v>11</v>
      </c>
      <c r="B2" s="24">
        <v>61</v>
      </c>
      <c r="C2" s="24">
        <v>48</v>
      </c>
      <c r="D2" s="26">
        <v>0.78690000000000004</v>
      </c>
    </row>
    <row r="3" spans="1:6">
      <c r="A3" s="12" t="s">
        <v>23</v>
      </c>
      <c r="B3" s="24">
        <v>53</v>
      </c>
      <c r="C3" s="24">
        <v>56</v>
      </c>
      <c r="D3" s="26">
        <v>1.0566</v>
      </c>
    </row>
    <row r="4" spans="1:6">
      <c r="A4" s="12" t="s">
        <v>61</v>
      </c>
      <c r="B4" s="24">
        <v>3</v>
      </c>
      <c r="C4" s="24">
        <v>0</v>
      </c>
      <c r="D4" s="26">
        <v>0</v>
      </c>
    </row>
    <row r="5" spans="1:6">
      <c r="A5" s="12" t="s">
        <v>66</v>
      </c>
      <c r="B5" s="24">
        <v>5</v>
      </c>
      <c r="C5" s="24">
        <v>7</v>
      </c>
      <c r="D5" s="26">
        <v>1.4</v>
      </c>
    </row>
    <row r="6" spans="1:6">
      <c r="A6" s="12"/>
      <c r="B6" s="24"/>
      <c r="C6" s="24"/>
    </row>
    <row r="7" spans="1:6">
      <c r="A7" s="12"/>
      <c r="B7" s="24"/>
      <c r="C7" s="24"/>
    </row>
    <row r="9" spans="1:6" ht="28.8">
      <c r="A9" s="11" t="s">
        <v>1</v>
      </c>
      <c r="B9" s="23" t="s">
        <v>297</v>
      </c>
      <c r="C9" s="23" t="s">
        <v>298</v>
      </c>
    </row>
    <row r="10" spans="1:6">
      <c r="A10" s="12" t="s">
        <v>11</v>
      </c>
      <c r="B10" s="24">
        <v>923244.68</v>
      </c>
      <c r="C10" s="26">
        <v>1.0043</v>
      </c>
    </row>
    <row r="11" spans="1:6">
      <c r="A11" s="12" t="s">
        <v>23</v>
      </c>
      <c r="B11" s="24">
        <v>898297.87</v>
      </c>
      <c r="C11" s="26">
        <v>0.97709999999999997</v>
      </c>
    </row>
    <row r="12" spans="1:6">
      <c r="A12" s="12" t="s">
        <v>61</v>
      </c>
      <c r="B12" s="24">
        <v>1026250</v>
      </c>
      <c r="C12" s="26">
        <v>1.1163000000000001</v>
      </c>
    </row>
    <row r="13" spans="1:6">
      <c r="A13" s="12" t="s">
        <v>66</v>
      </c>
      <c r="B13" s="24">
        <v>1066875</v>
      </c>
      <c r="C13" s="26">
        <v>1.1605000000000001</v>
      </c>
    </row>
    <row r="15" spans="1:6">
      <c r="E15" s="27" t="s">
        <v>1</v>
      </c>
      <c r="F15" s="27" t="s">
        <v>306</v>
      </c>
    </row>
    <row r="16" spans="1:6">
      <c r="E16" s="12" t="s">
        <v>11</v>
      </c>
      <c r="F16" s="29">
        <v>0.13830000000000001</v>
      </c>
    </row>
    <row r="17" spans="5:6">
      <c r="E17" s="12" t="s">
        <v>23</v>
      </c>
      <c r="F17" s="29">
        <v>0.21279999999999999</v>
      </c>
    </row>
    <row r="18" spans="5:6" ht="28.8">
      <c r="E18" s="12" t="s">
        <v>61</v>
      </c>
      <c r="F18" s="29">
        <v>0</v>
      </c>
    </row>
    <row r="19" spans="5:6" ht="43.2">
      <c r="E19" s="12" t="s">
        <v>66</v>
      </c>
      <c r="F19" s="29">
        <v>0.125</v>
      </c>
    </row>
    <row r="20" spans="5:6" ht="28.8">
      <c r="E20" s="12" t="s">
        <v>307</v>
      </c>
      <c r="F20" s="29">
        <v>0.17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6" sqref="B6"/>
    </sheetView>
  </sheetViews>
  <sheetFormatPr defaultRowHeight="14.4"/>
  <cols>
    <col min="1" max="1" width="17.6640625" customWidth="1"/>
    <col min="2" max="2" width="10.33203125" customWidth="1"/>
    <col min="3" max="3" width="26.5546875" customWidth="1"/>
  </cols>
  <sheetData>
    <row r="1" spans="1:3" ht="13.2" customHeight="1">
      <c r="A1" s="27" t="s">
        <v>309</v>
      </c>
      <c r="B1" s="27" t="s">
        <v>310</v>
      </c>
      <c r="C1" s="27" t="s">
        <v>311</v>
      </c>
    </row>
    <row r="2" spans="1:3">
      <c r="A2" s="12" t="s">
        <v>312</v>
      </c>
      <c r="B2" s="11">
        <v>100</v>
      </c>
      <c r="C2" s="12" t="s">
        <v>317</v>
      </c>
    </row>
    <row r="3" spans="1:3" ht="28.8">
      <c r="A3" s="12" t="s">
        <v>313</v>
      </c>
      <c r="B3" s="24">
        <v>100</v>
      </c>
      <c r="C3" s="12" t="s">
        <v>318</v>
      </c>
    </row>
    <row r="4" spans="1:3" ht="43.2">
      <c r="A4" s="12" t="s">
        <v>314</v>
      </c>
      <c r="B4" s="24">
        <v>71.88</v>
      </c>
      <c r="C4" s="12" t="s">
        <v>319</v>
      </c>
    </row>
    <row r="5" spans="1:3" ht="43.2">
      <c r="A5" s="12" t="s">
        <v>315</v>
      </c>
      <c r="B5" s="24">
        <v>80.8</v>
      </c>
      <c r="C5" s="12" t="s">
        <v>320</v>
      </c>
    </row>
    <row r="6" spans="1:3" ht="28.8">
      <c r="A6" s="27" t="s">
        <v>316</v>
      </c>
      <c r="B6" s="24">
        <f>AVERAGE(B2:B5)</f>
        <v>88.17</v>
      </c>
      <c r="C6" s="12" t="s">
        <v>321</v>
      </c>
    </row>
    <row r="8" spans="1:3">
      <c r="A8" t="s">
        <v>322</v>
      </c>
    </row>
  </sheetData>
  <conditionalFormatting sqref="B2:B6">
    <cfRule type="cellIs" dxfId="1" priority="2" operator="greaterThan">
      <formula>80</formula>
    </cfRule>
    <cfRule type="cellIs" dxfId="0" priority="1" operator="lessThan">
      <formula>80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A40" sqref="A40"/>
    </sheetView>
  </sheetViews>
  <sheetFormatPr defaultRowHeight="14.4"/>
  <cols>
    <col min="1" max="1" width="32.6640625" customWidth="1"/>
    <col min="2" max="2" width="14.109375" customWidth="1"/>
    <col min="3" max="3" width="15.6640625" customWidth="1"/>
    <col min="5" max="5" width="16.109375" customWidth="1"/>
    <col min="7" max="7" width="25.109375" customWidth="1"/>
  </cols>
  <sheetData>
    <row r="1" spans="1:7" ht="23.4">
      <c r="A1" s="30"/>
    </row>
    <row r="3" spans="1:7">
      <c r="A3" s="5" t="s">
        <v>323</v>
      </c>
      <c r="C3" t="s">
        <v>325</v>
      </c>
      <c r="E3" t="s">
        <v>326</v>
      </c>
      <c r="G3" t="s">
        <v>327</v>
      </c>
    </row>
    <row r="4" spans="1:7" ht="21">
      <c r="A4" s="31" t="s">
        <v>324</v>
      </c>
      <c r="C4">
        <v>88.17</v>
      </c>
      <c r="E4" s="25">
        <v>0.97709999999999997</v>
      </c>
      <c r="G4">
        <v>111</v>
      </c>
    </row>
    <row r="23" spans="5:7">
      <c r="E23" s="37" t="s">
        <v>328</v>
      </c>
      <c r="F23" s="37"/>
      <c r="G23" s="37"/>
    </row>
    <row r="24" spans="5:7">
      <c r="E24" t="s">
        <v>4</v>
      </c>
      <c r="F24" t="s">
        <v>298</v>
      </c>
    </row>
    <row r="25" spans="5:7">
      <c r="E25" t="s">
        <v>18</v>
      </c>
      <c r="F25" s="36">
        <v>0.85850000000000004</v>
      </c>
    </row>
    <row r="26" spans="5:7">
      <c r="E26" t="s">
        <v>13</v>
      </c>
      <c r="F26" s="36">
        <v>1.1214999999999999</v>
      </c>
    </row>
    <row r="27" spans="5:7">
      <c r="E27" t="s">
        <v>42</v>
      </c>
      <c r="F27" s="36">
        <v>1.1348</v>
      </c>
    </row>
    <row r="28" spans="5:7">
      <c r="E28" t="s">
        <v>36</v>
      </c>
      <c r="F28" s="36">
        <v>1.0656000000000001</v>
      </c>
    </row>
    <row r="29" spans="5:7">
      <c r="E29" t="s">
        <v>31</v>
      </c>
      <c r="F29" s="36">
        <v>0.9446</v>
      </c>
    </row>
    <row r="30" spans="5:7">
      <c r="E30" t="s">
        <v>20</v>
      </c>
      <c r="F30" s="36">
        <v>0.81489999999999996</v>
      </c>
    </row>
    <row r="31" spans="5:7">
      <c r="E31" t="s">
        <v>51</v>
      </c>
      <c r="F31" s="36">
        <v>1.0221</v>
      </c>
    </row>
    <row r="32" spans="5:7">
      <c r="E32" t="s">
        <v>47</v>
      </c>
      <c r="F32" s="36">
        <v>0.98099999999999998</v>
      </c>
    </row>
  </sheetData>
  <conditionalFormatting sqref="F25:F3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5:E3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/>
  </sheetPr>
  <dimension ref="B1:H13"/>
  <sheetViews>
    <sheetView showGridLines="0" workbookViewId="0">
      <selection activeCell="E29" sqref="E29"/>
    </sheetView>
  </sheetViews>
  <sheetFormatPr defaultRowHeight="14.4" outlineLevelRow="1" outlineLevelCol="1"/>
  <cols>
    <col min="3" max="3" width="5.21875" customWidth="1"/>
    <col min="4" max="8" width="30.44140625" bestFit="1" customWidth="1" outlineLevel="1"/>
  </cols>
  <sheetData>
    <row r="1" spans="2:8" ht="15" thickBot="1"/>
    <row r="2" spans="2:8" ht="15.6">
      <c r="B2" s="43" t="s">
        <v>355</v>
      </c>
      <c r="C2" s="43"/>
      <c r="D2" s="48"/>
      <c r="E2" s="48"/>
      <c r="F2" s="48"/>
      <c r="G2" s="48"/>
      <c r="H2" s="48"/>
    </row>
    <row r="3" spans="2:8" ht="15.6" collapsed="1">
      <c r="B3" s="42"/>
      <c r="C3" s="42"/>
      <c r="D3" s="49" t="s">
        <v>357</v>
      </c>
      <c r="E3" s="49" t="s">
        <v>333</v>
      </c>
      <c r="F3" s="49" t="s">
        <v>352</v>
      </c>
      <c r="G3" s="49" t="s">
        <v>353</v>
      </c>
      <c r="H3" s="49" t="s">
        <v>354</v>
      </c>
    </row>
    <row r="4" spans="2:8" hidden="1" outlineLevel="1">
      <c r="B4" s="45"/>
      <c r="C4" s="45"/>
      <c r="D4" s="39"/>
      <c r="E4" s="52" t="s">
        <v>351</v>
      </c>
      <c r="F4" s="52" t="s">
        <v>351</v>
      </c>
      <c r="G4" s="52" t="s">
        <v>351</v>
      </c>
      <c r="H4" s="52" t="s">
        <v>351</v>
      </c>
    </row>
    <row r="5" spans="2:8">
      <c r="B5" s="46" t="s">
        <v>356</v>
      </c>
      <c r="C5" s="46"/>
      <c r="D5" s="44"/>
      <c r="E5" s="44"/>
      <c r="F5" s="44"/>
      <c r="G5" s="44"/>
      <c r="H5" s="44"/>
    </row>
    <row r="6" spans="2:8" outlineLevel="1">
      <c r="B6" s="45"/>
      <c r="C6" s="45" t="s">
        <v>347</v>
      </c>
      <c r="D6" s="40">
        <v>0.1</v>
      </c>
      <c r="E6" s="50">
        <v>0</v>
      </c>
      <c r="F6" s="50">
        <v>0.2</v>
      </c>
      <c r="G6" s="50">
        <v>0</v>
      </c>
      <c r="H6" s="50">
        <v>0</v>
      </c>
    </row>
    <row r="7" spans="2:8" outlineLevel="1">
      <c r="B7" s="45"/>
      <c r="C7" s="45" t="s">
        <v>348</v>
      </c>
      <c r="D7" s="40">
        <v>0.2</v>
      </c>
      <c r="E7" s="50">
        <v>0</v>
      </c>
      <c r="F7" s="50">
        <v>0</v>
      </c>
      <c r="G7" s="50">
        <v>0.2</v>
      </c>
      <c r="H7" s="50">
        <v>0</v>
      </c>
    </row>
    <row r="8" spans="2:8" outlineLevel="1">
      <c r="B8" s="45"/>
      <c r="C8" s="45" t="s">
        <v>349</v>
      </c>
      <c r="D8" s="39">
        <v>1</v>
      </c>
      <c r="E8" s="51">
        <v>1</v>
      </c>
      <c r="F8" s="51">
        <v>1</v>
      </c>
      <c r="G8" s="51">
        <v>1</v>
      </c>
      <c r="H8" s="51">
        <v>1</v>
      </c>
    </row>
    <row r="9" spans="2:8">
      <c r="B9" s="46" t="s">
        <v>358</v>
      </c>
      <c r="C9" s="46"/>
      <c r="D9" s="44"/>
      <c r="E9" s="44"/>
      <c r="F9" s="44"/>
      <c r="G9" s="44"/>
      <c r="H9" s="44"/>
    </row>
    <row r="10" spans="2:8" ht="15" outlineLevel="1" thickBot="1">
      <c r="B10" s="47"/>
      <c r="C10" s="47" t="s">
        <v>350</v>
      </c>
      <c r="D10" s="41">
        <v>88.17</v>
      </c>
      <c r="E10" s="41">
        <v>88.17</v>
      </c>
      <c r="F10" s="41">
        <v>88.17</v>
      </c>
      <c r="G10" s="41">
        <v>88.17</v>
      </c>
      <c r="H10" s="41">
        <v>88.17</v>
      </c>
    </row>
    <row r="11" spans="2:8">
      <c r="B11" t="s">
        <v>359</v>
      </c>
    </row>
    <row r="12" spans="2:8">
      <c r="B12" t="s">
        <v>360</v>
      </c>
    </row>
    <row r="13" spans="2:8">
      <c r="B13" t="s">
        <v>361</v>
      </c>
    </row>
  </sheetData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8"/>
  <sheetViews>
    <sheetView tabSelected="1" topLeftCell="A3" workbookViewId="0">
      <selection activeCell="A18" sqref="A18"/>
    </sheetView>
  </sheetViews>
  <sheetFormatPr defaultRowHeight="14.4"/>
  <cols>
    <col min="1" max="1" width="23.33203125" customWidth="1"/>
    <col min="2" max="2" width="15.88671875" customWidth="1"/>
    <col min="3" max="3" width="10.5546875" customWidth="1"/>
    <col min="6" max="6" width="30" customWidth="1"/>
  </cols>
  <sheetData>
    <row r="1" spans="1:7" ht="28.2" customHeight="1">
      <c r="A1" s="27" t="s">
        <v>329</v>
      </c>
      <c r="B1" s="11"/>
    </row>
    <row r="2" spans="1:7">
      <c r="A2" s="12"/>
      <c r="E2" s="11"/>
      <c r="F2" s="11" t="s">
        <v>302</v>
      </c>
    </row>
    <row r="3" spans="1:7" ht="28.8">
      <c r="A3" s="12" t="s">
        <v>330</v>
      </c>
      <c r="B3" s="12" t="s">
        <v>331</v>
      </c>
      <c r="C3" s="12" t="s">
        <v>332</v>
      </c>
      <c r="D3" s="12" t="s">
        <v>272</v>
      </c>
      <c r="E3" s="12"/>
      <c r="F3" s="27" t="s">
        <v>343</v>
      </c>
    </row>
    <row r="4" spans="1:7" ht="28.8">
      <c r="A4" s="12" t="s">
        <v>333</v>
      </c>
      <c r="B4" s="12" t="s">
        <v>334</v>
      </c>
      <c r="C4" s="12" t="s">
        <v>335</v>
      </c>
    </row>
    <row r="5" spans="1:7" ht="43.2">
      <c r="A5" s="12" t="s">
        <v>336</v>
      </c>
      <c r="B5" s="12" t="s">
        <v>337</v>
      </c>
      <c r="C5" s="38">
        <v>0.1</v>
      </c>
      <c r="E5" s="12"/>
      <c r="F5" s="12" t="s">
        <v>344</v>
      </c>
      <c r="G5" s="38">
        <v>0.1</v>
      </c>
    </row>
    <row r="6" spans="1:7" ht="43.2">
      <c r="A6" s="12" t="s">
        <v>338</v>
      </c>
      <c r="B6" s="12" t="s">
        <v>339</v>
      </c>
      <c r="C6" s="38">
        <v>0.2</v>
      </c>
      <c r="E6" s="12"/>
      <c r="F6" s="12" t="s">
        <v>345</v>
      </c>
      <c r="G6" s="38">
        <v>0.2</v>
      </c>
    </row>
    <row r="7" spans="1:7">
      <c r="A7" s="12" t="s">
        <v>340</v>
      </c>
      <c r="B7" s="12" t="s">
        <v>341</v>
      </c>
      <c r="C7" s="12" t="s">
        <v>342</v>
      </c>
      <c r="E7" s="12"/>
      <c r="F7" s="12" t="s">
        <v>298</v>
      </c>
      <c r="G7" s="12">
        <v>1</v>
      </c>
    </row>
    <row r="8" spans="1:7">
      <c r="E8" s="12"/>
    </row>
    <row r="9" spans="1:7">
      <c r="E9" s="12"/>
      <c r="F9" t="s">
        <v>346</v>
      </c>
      <c r="G9">
        <f>Diversity_Scorecard!B6</f>
        <v>88.17</v>
      </c>
    </row>
    <row r="10" spans="1:7">
      <c r="E10" s="12"/>
    </row>
    <row r="11" spans="1:7" ht="43.2">
      <c r="A11" s="12" t="s">
        <v>330</v>
      </c>
      <c r="B11" s="12" t="s">
        <v>344</v>
      </c>
      <c r="C11" s="12" t="s">
        <v>362</v>
      </c>
      <c r="D11" s="12" t="s">
        <v>363</v>
      </c>
      <c r="E11" s="12" t="s">
        <v>272</v>
      </c>
      <c r="F11" t="s">
        <v>370</v>
      </c>
      <c r="G11" t="s">
        <v>364</v>
      </c>
    </row>
    <row r="12" spans="1:7" ht="15">
      <c r="A12" s="12" t="s">
        <v>333</v>
      </c>
      <c r="B12" s="17">
        <v>0</v>
      </c>
      <c r="C12" s="17">
        <v>0</v>
      </c>
      <c r="D12" t="s">
        <v>369</v>
      </c>
      <c r="E12">
        <v>88.17</v>
      </c>
      <c r="F12">
        <v>0</v>
      </c>
      <c r="G12" s="53" t="s">
        <v>365</v>
      </c>
    </row>
    <row r="13" spans="1:7" ht="15">
      <c r="A13" s="12" t="s">
        <v>336</v>
      </c>
      <c r="B13" s="17">
        <v>0.1</v>
      </c>
      <c r="C13" s="17">
        <v>0</v>
      </c>
      <c r="D13" t="s">
        <v>369</v>
      </c>
      <c r="E13">
        <v>88.17</v>
      </c>
      <c r="F13" t="s">
        <v>371</v>
      </c>
      <c r="G13" s="53" t="s">
        <v>366</v>
      </c>
    </row>
    <row r="14" spans="1:7" ht="15">
      <c r="A14" s="12" t="s">
        <v>338</v>
      </c>
      <c r="B14" s="17">
        <v>0</v>
      </c>
      <c r="C14" s="17">
        <v>0.2</v>
      </c>
      <c r="D14" t="s">
        <v>369</v>
      </c>
      <c r="E14">
        <v>88.17</v>
      </c>
      <c r="F14" t="s">
        <v>371</v>
      </c>
      <c r="G14" s="53" t="s">
        <v>367</v>
      </c>
    </row>
    <row r="15" spans="1:7" ht="15">
      <c r="A15" s="12" t="s">
        <v>340</v>
      </c>
      <c r="B15" s="17">
        <v>0</v>
      </c>
      <c r="C15" s="17">
        <v>0</v>
      </c>
      <c r="D15">
        <v>1</v>
      </c>
      <c r="E15">
        <v>92.97</v>
      </c>
      <c r="F15">
        <f>E15-E12</f>
        <v>4.7999999999999972</v>
      </c>
      <c r="G15" s="53" t="s">
        <v>368</v>
      </c>
    </row>
    <row r="17" spans="1:1">
      <c r="A17" t="s">
        <v>372</v>
      </c>
    </row>
    <row r="18" spans="1:1">
      <c r="A18" t="s">
        <v>373</v>
      </c>
    </row>
  </sheetData>
  <scenarios current="3" sqref="G9">
    <scenario name="Base Case" locked="1" count="3" user="Swe" comment="Created by Swe on 9/28/2026&#10;Modified by Swe on 9/28/2026">
      <inputCells r="G5" val="0" numFmtId="9"/>
      <inputCells r="G6" val="0" numFmtId="9"/>
      <inputCells r="G7" val="0.808"/>
    </scenario>
    <scenario name="Scenario 1 - Female Leadership Hiring" locked="1" count="3" user="Swe" comment="Created by Swe on 9/28/2026">
      <inputCells r="G5" val="0.2" numFmtId="9"/>
      <inputCells r="G6" val="0" numFmtId="9"/>
      <inputCells r="G7" val="1"/>
    </scenario>
    <scenario name="Scenario 2 - Minority Training" locked="1" count="3" user="Swe" comment="Created by Swe on 9/28/2026">
      <inputCells r="G5" val="0" numFmtId="9"/>
      <inputCells r="G6" val="0.2" numFmtId="9"/>
      <inputCells r="G7" val="1"/>
    </scenario>
    <scenario name="Scenario 3 - Salary Correction" locked="1" count="3" user="Swe" comment="Created by Swe on 9/28/2026&#10;Modified by Swe on 9/28/2026">
      <inputCells r="G5" val="0" numFmtId="9"/>
      <inputCells r="G6" val="0" numFmtId="9"/>
      <inputCells r="G7" val="1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Gender_Pivot</vt:lpstr>
      <vt:lpstr>Age_Pivot</vt:lpstr>
      <vt:lpstr>Ethnicity_Pivot</vt:lpstr>
      <vt:lpstr>Department_Pivot</vt:lpstr>
      <vt:lpstr>Diversity_Combination_Pivot</vt:lpstr>
      <vt:lpstr>Sheet12</vt:lpstr>
      <vt:lpstr>Sheet13</vt:lpstr>
      <vt:lpstr>Sheet14</vt:lpstr>
      <vt:lpstr>Sheet15</vt:lpstr>
      <vt:lpstr>Sheet16</vt:lpstr>
      <vt:lpstr>Sheet19</vt:lpstr>
      <vt:lpstr>Sheet20</vt:lpstr>
      <vt:lpstr>Cleaned Data</vt:lpstr>
      <vt:lpstr>Raw_Data</vt:lpstr>
      <vt:lpstr>Setup_Notes</vt:lpstr>
      <vt:lpstr>Diversity_KPIs</vt:lpstr>
      <vt:lpstr>Inclusion_KPIs</vt:lpstr>
      <vt:lpstr>Diversity_Scorecard</vt:lpstr>
      <vt:lpstr>D&amp;I_Dashboard</vt:lpstr>
      <vt:lpstr>Scenario Summary</vt:lpstr>
      <vt:lpstr>Scenario_Analysis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</cp:lastModifiedBy>
  <dcterms:created xsi:type="dcterms:W3CDTF">2026-09-28T12:24:38Z</dcterms:created>
  <dcterms:modified xsi:type="dcterms:W3CDTF">2026-09-28T15:57:50Z</dcterms:modified>
</cp:coreProperties>
</file>